
<file path=[Content_Types].xml><?xml version="1.0" encoding="utf-8"?>
<Types xmlns="http://schemas.openxmlformats.org/package/2006/content-type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workbookPr hidePivotFieldList="1" defaultThemeVersion="202300"/>
  <mc:AlternateContent xmlns:mc="http://schemas.openxmlformats.org/markup-compatibility/2006">
    <mc:Choice Requires="x15">
      <x15ac:absPath xmlns:x15ac="http://schemas.microsoft.com/office/spreadsheetml/2010/11/ac" url="https://d.docs.live.net/2202b3b2951d9acb/Desktop/Data anylist/Dash boards/"/>
    </mc:Choice>
  </mc:AlternateContent>
  <xr:revisionPtr revIDLastSave="1" documentId="8_{FB77E03D-2704-45D3-BE9D-78A9F1BACE8F}" xr6:coauthVersionLast="47" xr6:coauthVersionMax="47" xr10:uidLastSave="{F3AA1E31-84E1-4DB1-9843-E82DD2075D9B}"/>
  <bookViews>
    <workbookView xWindow="-120" yWindow="-120" windowWidth="20730" windowHeight="11040" activeTab="2" xr2:uid="{F3EFBCA8-5DAD-4175-9A5B-B03A54EE89D3}"/>
  </bookViews>
  <sheets>
    <sheet name="amazon_sales_data 2025" sheetId="1" r:id="rId1"/>
    <sheet name="caluculation" sheetId="2" r:id="rId2"/>
    <sheet name="Sales Dash board" sheetId="3" r:id="rId3"/>
  </sheets>
  <definedNames>
    <definedName name="_xlcn.WorksheetConnection_amazon_sales_data2025A1L2511" hidden="1">'amazon_sales_data 2025'!$A$1:$L$251</definedName>
    <definedName name="_xlcn.WorksheetConnection_amazon_sales_data2025A1M2511" hidden="1">'amazon_sales_data 2025'!$A$1:$M$251</definedName>
    <definedName name="Slicer_Category">#N/A</definedName>
    <definedName name="Slicer_Month">#N/A</definedName>
  </definedNames>
  <calcPr calcId="191029"/>
  <pivotCaches>
    <pivotCache cacheId="692" r:id="rId4"/>
    <pivotCache cacheId="956" r:id="rId5"/>
    <pivotCache cacheId="959" r:id="rId6"/>
    <pivotCache cacheId="962" r:id="rId7"/>
    <pivotCache cacheId="965" r:id="rId8"/>
    <pivotCache cacheId="968" r:id="rId9"/>
    <pivotCache cacheId="971" r:id="rId10"/>
    <pivotCache cacheId="974" r:id="rId11"/>
    <pivotCache cacheId="977" r:id="rId12"/>
    <pivotCache cacheId="980" r:id="rId13"/>
    <pivotCache cacheId="983" r:id="rId14"/>
    <pivotCache cacheId="986" r:id="rId15"/>
    <pivotCache cacheId="989" r:id="rId16"/>
    <pivotCache cacheId="992" r:id="rId17"/>
    <pivotCache cacheId="995" r:id="rId18"/>
  </pivotCaches>
  <extLst>
    <ext xmlns:x14="http://schemas.microsoft.com/office/spreadsheetml/2009/9/main" uri="{876F7934-8845-4945-9796-88D515C7AA90}">
      <x14:pivotCaches>
        <pivotCache cacheId="612" r:id="rId19"/>
      </x14:pivotCaches>
    </ext>
    <ext xmlns:x14="http://schemas.microsoft.com/office/spreadsheetml/2009/9/main" uri="{BBE1A952-AA13-448e-AADC-164F8A28A991}">
      <x14:slicerCaches>
        <x14:slicerCache r:id="rId20"/>
        <x14:slicerCache r:id="rId21"/>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name="Range" connection="WorksheetConnection_amazon_sales_data 2025!$A$1:$L$251"/>
          <x15:modelTable id="Range 1" name="Range 1" connection="WorksheetConnection_amazon_sales_data 2025!$A$1:$M$251"/>
        </x15:modelTables>
        <x15:extLst>
          <ext xmlns:x16="http://schemas.microsoft.com/office/spreadsheetml/2014/11/main" uri="{9835A34E-60A6-4A7C-AAB8-D5F71C897F49}">
            <x16:modelTimeGroupings>
              <x16:modelTimeGrouping tableName="Range" columnName="Date" columnId="Date">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 i="1" l="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275906C-EC5E-42D5-B416-71C04BBA356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732FE19B-31E0-4A51-9F3A-84FD3C39CB2A}" name="WorksheetConnection_amazon_sales_data 2025!$A$1:$L$251" type="102" refreshedVersion="8" minRefreshableVersion="5">
    <extLst>
      <ext xmlns:x15="http://schemas.microsoft.com/office/spreadsheetml/2010/11/main" uri="{DE250136-89BD-433C-8126-D09CA5730AF9}">
        <x15:connection id="Range" autoDelete="1">
          <x15:rangePr sourceName="_xlcn.WorksheetConnection_amazon_sales_data2025A1L2511"/>
        </x15:connection>
      </ext>
    </extLst>
  </connection>
  <connection id="3" xr16:uid="{09CCF277-B440-4DE0-874A-28E9D3530258}" name="WorksheetConnection_amazon_sales_data 2025!$A$1:$M$251" type="102" refreshedVersion="8" minRefreshableVersion="5">
    <extLst>
      <ext xmlns:x15="http://schemas.microsoft.com/office/spreadsheetml/2010/11/main" uri="{DE250136-89BD-433C-8126-D09CA5730AF9}">
        <x15:connection id="Range 1" autoDelete="1">
          <x15:rangePr sourceName="_xlcn.WorksheetConnection_amazon_sales_data2025A1M2511"/>
        </x15:connection>
      </ext>
    </extLst>
  </connection>
</connections>
</file>

<file path=xl/sharedStrings.xml><?xml version="1.0" encoding="utf-8"?>
<sst xmlns="http://schemas.openxmlformats.org/spreadsheetml/2006/main" count="1862" uniqueCount="328">
  <si>
    <t>Order ID</t>
  </si>
  <si>
    <t>Date</t>
  </si>
  <si>
    <t>Product</t>
  </si>
  <si>
    <t>Category</t>
  </si>
  <si>
    <t>Price</t>
  </si>
  <si>
    <t>Quantity</t>
  </si>
  <si>
    <t>Total Sales</t>
  </si>
  <si>
    <t>Customer Name</t>
  </si>
  <si>
    <t>Customer Location</t>
  </si>
  <si>
    <t>Payment Method</t>
  </si>
  <si>
    <t>Status</t>
  </si>
  <si>
    <t>ORD0001</t>
  </si>
  <si>
    <t>Running Shoes</t>
  </si>
  <si>
    <t>Footwear</t>
  </si>
  <si>
    <t>Emma Clark</t>
  </si>
  <si>
    <t>New York</t>
  </si>
  <si>
    <t>Debit Card</t>
  </si>
  <si>
    <t>Cancelled</t>
  </si>
  <si>
    <t>ORD0002</t>
  </si>
  <si>
    <t>Headphones</t>
  </si>
  <si>
    <t>Electronics</t>
  </si>
  <si>
    <t>Emily Johnson</t>
  </si>
  <si>
    <t>San Francisco</t>
  </si>
  <si>
    <t>Pending</t>
  </si>
  <si>
    <t>ORD0003</t>
  </si>
  <si>
    <t>John Doe</t>
  </si>
  <si>
    <t>Denver</t>
  </si>
  <si>
    <t>Amazon Pay</t>
  </si>
  <si>
    <t>ORD0004</t>
  </si>
  <si>
    <t>Olivia Wilson</t>
  </si>
  <si>
    <t>Dallas</t>
  </si>
  <si>
    <t>Credit Card</t>
  </si>
  <si>
    <t>ORD0005</t>
  </si>
  <si>
    <t>Smartwatch</t>
  </si>
  <si>
    <t>ORD0006</t>
  </si>
  <si>
    <t>T-Shirt</t>
  </si>
  <si>
    <t>Clothing</t>
  </si>
  <si>
    <t>ORD0007</t>
  </si>
  <si>
    <t>Houston</t>
  </si>
  <si>
    <t>PayPal</t>
  </si>
  <si>
    <t>Completed</t>
  </si>
  <si>
    <t>ORD0008</t>
  </si>
  <si>
    <t>Smartphone</t>
  </si>
  <si>
    <t>Sophia Miller</t>
  </si>
  <si>
    <t>Miami</t>
  </si>
  <si>
    <t>ORD0009</t>
  </si>
  <si>
    <t>Boston</t>
  </si>
  <si>
    <t>ORD0010</t>
  </si>
  <si>
    <t>ORD0011</t>
  </si>
  <si>
    <t>Book</t>
  </si>
  <si>
    <t>Books</t>
  </si>
  <si>
    <t>David Lee</t>
  </si>
  <si>
    <t>ORD0012</t>
  </si>
  <si>
    <t>Jeans</t>
  </si>
  <si>
    <t>Michael Brown</t>
  </si>
  <si>
    <t>ORD0013</t>
  </si>
  <si>
    <t>Laptop</t>
  </si>
  <si>
    <t>Daniel Harris</t>
  </si>
  <si>
    <t>Gift Card</t>
  </si>
  <si>
    <t>ORD0014</t>
  </si>
  <si>
    <t>Washing Machine</t>
  </si>
  <si>
    <t>Home Appliances</t>
  </si>
  <si>
    <t>ORD0015</t>
  </si>
  <si>
    <t>Seattle</t>
  </si>
  <si>
    <t>ORD0016</t>
  </si>
  <si>
    <t>Refrigerator</t>
  </si>
  <si>
    <t>ORD0017</t>
  </si>
  <si>
    <t>ORD0018</t>
  </si>
  <si>
    <t>Los Angeles</t>
  </si>
  <si>
    <t>ORD0019</t>
  </si>
  <si>
    <t>ORD0020</t>
  </si>
  <si>
    <t>ORD0021</t>
  </si>
  <si>
    <t>Chris White</t>
  </si>
  <si>
    <t>ORD0022</t>
  </si>
  <si>
    <t>ORD0023</t>
  </si>
  <si>
    <t>ORD0024</t>
  </si>
  <si>
    <t>ORD0025</t>
  </si>
  <si>
    <t>ORD0026</t>
  </si>
  <si>
    <t>ORD0027</t>
  </si>
  <si>
    <t>ORD0028</t>
  </si>
  <si>
    <t>Jane Smith</t>
  </si>
  <si>
    <t>Chicago</t>
  </si>
  <si>
    <t>ORD0029</t>
  </si>
  <si>
    <t>ORD0030</t>
  </si>
  <si>
    <t>ORD0031</t>
  </si>
  <si>
    <t>ORD0032</t>
  </si>
  <si>
    <t>ORD0033</t>
  </si>
  <si>
    <t>ORD0034</t>
  </si>
  <si>
    <t>ORD0035</t>
  </si>
  <si>
    <t>ORD0036</t>
  </si>
  <si>
    <t>ORD0037</t>
  </si>
  <si>
    <t>ORD0038</t>
  </si>
  <si>
    <t>ORD0039</t>
  </si>
  <si>
    <t>ORD0040</t>
  </si>
  <si>
    <t>ORD0041</t>
  </si>
  <si>
    <t>ORD0042</t>
  </si>
  <si>
    <t>ORD0043</t>
  </si>
  <si>
    <t>ORD0044</t>
  </si>
  <si>
    <t>ORD0045</t>
  </si>
  <si>
    <t>ORD0046</t>
  </si>
  <si>
    <t>ORD0047</t>
  </si>
  <si>
    <t>ORD0048</t>
  </si>
  <si>
    <t>ORD0049</t>
  </si>
  <si>
    <t>ORD0050</t>
  </si>
  <si>
    <t>ORD0051</t>
  </si>
  <si>
    <t>ORD0052</t>
  </si>
  <si>
    <t>ORD0053</t>
  </si>
  <si>
    <t>ORD0054</t>
  </si>
  <si>
    <t>ORD0055</t>
  </si>
  <si>
    <t>ORD0056</t>
  </si>
  <si>
    <t>ORD0057</t>
  </si>
  <si>
    <t>ORD0058</t>
  </si>
  <si>
    <t>ORD0059</t>
  </si>
  <si>
    <t>ORD0060</t>
  </si>
  <si>
    <t>ORD0061</t>
  </si>
  <si>
    <t>ORD0062</t>
  </si>
  <si>
    <t>ORD0063</t>
  </si>
  <si>
    <t>ORD0064</t>
  </si>
  <si>
    <t>ORD0065</t>
  </si>
  <si>
    <t>ORD0066</t>
  </si>
  <si>
    <t>ORD0067</t>
  </si>
  <si>
    <t>ORD0068</t>
  </si>
  <si>
    <t>ORD0069</t>
  </si>
  <si>
    <t>ORD0070</t>
  </si>
  <si>
    <t>ORD0071</t>
  </si>
  <si>
    <t>ORD0072</t>
  </si>
  <si>
    <t>ORD0073</t>
  </si>
  <si>
    <t>ORD0074</t>
  </si>
  <si>
    <t>ORD0075</t>
  </si>
  <si>
    <t>ORD0076</t>
  </si>
  <si>
    <t>ORD0077</t>
  </si>
  <si>
    <t>ORD0078</t>
  </si>
  <si>
    <t>ORD0079</t>
  </si>
  <si>
    <t>ORD0080</t>
  </si>
  <si>
    <t>ORD0081</t>
  </si>
  <si>
    <t>ORD0082</t>
  </si>
  <si>
    <t>ORD0083</t>
  </si>
  <si>
    <t>ORD0084</t>
  </si>
  <si>
    <t>ORD0085</t>
  </si>
  <si>
    <t>ORD0086</t>
  </si>
  <si>
    <t>ORD0087</t>
  </si>
  <si>
    <t>ORD0088</t>
  </si>
  <si>
    <t>ORD0089</t>
  </si>
  <si>
    <t>ORD0090</t>
  </si>
  <si>
    <t>ORD0091</t>
  </si>
  <si>
    <t>ORD0092</t>
  </si>
  <si>
    <t>ORD0093</t>
  </si>
  <si>
    <t>ORD0094</t>
  </si>
  <si>
    <t>ORD0095</t>
  </si>
  <si>
    <t>ORD0096</t>
  </si>
  <si>
    <t>ORD0097</t>
  </si>
  <si>
    <t>ORD0098</t>
  </si>
  <si>
    <t>ORD0099</t>
  </si>
  <si>
    <t>ORD0100</t>
  </si>
  <si>
    <t>ORD0101</t>
  </si>
  <si>
    <t>ORD0102</t>
  </si>
  <si>
    <t>ORD0103</t>
  </si>
  <si>
    <t>ORD0104</t>
  </si>
  <si>
    <t>ORD0105</t>
  </si>
  <si>
    <t>ORD0106</t>
  </si>
  <si>
    <t>ORD0107</t>
  </si>
  <si>
    <t>ORD0108</t>
  </si>
  <si>
    <t>ORD0109</t>
  </si>
  <si>
    <t>ORD0110</t>
  </si>
  <si>
    <t>ORD0111</t>
  </si>
  <si>
    <t>ORD0112</t>
  </si>
  <si>
    <t>ORD0113</t>
  </si>
  <si>
    <t>ORD0114</t>
  </si>
  <si>
    <t>ORD0115</t>
  </si>
  <si>
    <t>ORD0116</t>
  </si>
  <si>
    <t>ORD0117</t>
  </si>
  <si>
    <t>ORD0118</t>
  </si>
  <si>
    <t>ORD0119</t>
  </si>
  <si>
    <t>ORD0120</t>
  </si>
  <si>
    <t>ORD0121</t>
  </si>
  <si>
    <t>ORD0122</t>
  </si>
  <si>
    <t>ORD0123</t>
  </si>
  <si>
    <t>ORD0124</t>
  </si>
  <si>
    <t>ORD0125</t>
  </si>
  <si>
    <t>ORD0126</t>
  </si>
  <si>
    <t>ORD0127</t>
  </si>
  <si>
    <t>ORD0128</t>
  </si>
  <si>
    <t>ORD0129</t>
  </si>
  <si>
    <t>ORD0130</t>
  </si>
  <si>
    <t>ORD0131</t>
  </si>
  <si>
    <t>ORD0132</t>
  </si>
  <si>
    <t>ORD0133</t>
  </si>
  <si>
    <t>ORD0134</t>
  </si>
  <si>
    <t>ORD0135</t>
  </si>
  <si>
    <t>ORD0136</t>
  </si>
  <si>
    <t>ORD0137</t>
  </si>
  <si>
    <t>ORD0138</t>
  </si>
  <si>
    <t>ORD0139</t>
  </si>
  <si>
    <t>ORD0140</t>
  </si>
  <si>
    <t>ORD0141</t>
  </si>
  <si>
    <t>ORD0142</t>
  </si>
  <si>
    <t>ORD0143</t>
  </si>
  <si>
    <t>ORD0144</t>
  </si>
  <si>
    <t>ORD0145</t>
  </si>
  <si>
    <t>ORD0146</t>
  </si>
  <si>
    <t>ORD0147</t>
  </si>
  <si>
    <t>ORD0148</t>
  </si>
  <si>
    <t>ORD0149</t>
  </si>
  <si>
    <t>ORD0150</t>
  </si>
  <si>
    <t>ORD0151</t>
  </si>
  <si>
    <t>ORD0152</t>
  </si>
  <si>
    <t>ORD0153</t>
  </si>
  <si>
    <t>ORD0154</t>
  </si>
  <si>
    <t>ORD0155</t>
  </si>
  <si>
    <t>ORD0156</t>
  </si>
  <si>
    <t>ORD0157</t>
  </si>
  <si>
    <t>ORD0158</t>
  </si>
  <si>
    <t>ORD0159</t>
  </si>
  <si>
    <t>ORD0160</t>
  </si>
  <si>
    <t>ORD0161</t>
  </si>
  <si>
    <t>ORD0162</t>
  </si>
  <si>
    <t>ORD0163</t>
  </si>
  <si>
    <t>ORD0164</t>
  </si>
  <si>
    <t>ORD0165</t>
  </si>
  <si>
    <t>ORD0166</t>
  </si>
  <si>
    <t>ORD0167</t>
  </si>
  <si>
    <t>ORD0168</t>
  </si>
  <si>
    <t>ORD0169</t>
  </si>
  <si>
    <t>ORD0170</t>
  </si>
  <si>
    <t>ORD0171</t>
  </si>
  <si>
    <t>ORD0172</t>
  </si>
  <si>
    <t>ORD0173</t>
  </si>
  <si>
    <t>ORD0174</t>
  </si>
  <si>
    <t>ORD0175</t>
  </si>
  <si>
    <t>ORD0176</t>
  </si>
  <si>
    <t>ORD0177</t>
  </si>
  <si>
    <t>ORD0178</t>
  </si>
  <si>
    <t>ORD0179</t>
  </si>
  <si>
    <t>ORD0180</t>
  </si>
  <si>
    <t>ORD0181</t>
  </si>
  <si>
    <t>ORD0182</t>
  </si>
  <si>
    <t>ORD0183</t>
  </si>
  <si>
    <t>ORD0184</t>
  </si>
  <si>
    <t>ORD0185</t>
  </si>
  <si>
    <t>ORD0186</t>
  </si>
  <si>
    <t>ORD0187</t>
  </si>
  <si>
    <t>ORD0188</t>
  </si>
  <si>
    <t>ORD0189</t>
  </si>
  <si>
    <t>ORD0190</t>
  </si>
  <si>
    <t>ORD0191</t>
  </si>
  <si>
    <t>ORD0192</t>
  </si>
  <si>
    <t>ORD0193</t>
  </si>
  <si>
    <t>ORD0194</t>
  </si>
  <si>
    <t>ORD0195</t>
  </si>
  <si>
    <t>ORD0196</t>
  </si>
  <si>
    <t>ORD0197</t>
  </si>
  <si>
    <t>ORD0198</t>
  </si>
  <si>
    <t>ORD0199</t>
  </si>
  <si>
    <t>ORD0200</t>
  </si>
  <si>
    <t>ORD0201</t>
  </si>
  <si>
    <t>ORD0202</t>
  </si>
  <si>
    <t>ORD0203</t>
  </si>
  <si>
    <t>ORD0204</t>
  </si>
  <si>
    <t>ORD0205</t>
  </si>
  <si>
    <t>ORD0206</t>
  </si>
  <si>
    <t>ORD0207</t>
  </si>
  <si>
    <t>ORD0208</t>
  </si>
  <si>
    <t>ORD0209</t>
  </si>
  <si>
    <t>ORD0210</t>
  </si>
  <si>
    <t>ORD0211</t>
  </si>
  <si>
    <t>ORD0212</t>
  </si>
  <si>
    <t>ORD0213</t>
  </si>
  <si>
    <t>ORD0214</t>
  </si>
  <si>
    <t>ORD0215</t>
  </si>
  <si>
    <t>ORD0216</t>
  </si>
  <si>
    <t>ORD0217</t>
  </si>
  <si>
    <t>ORD0218</t>
  </si>
  <si>
    <t>ORD0219</t>
  </si>
  <si>
    <t>ORD0220</t>
  </si>
  <si>
    <t>ORD0221</t>
  </si>
  <si>
    <t>ORD0222</t>
  </si>
  <si>
    <t>ORD0223</t>
  </si>
  <si>
    <t>ORD0224</t>
  </si>
  <si>
    <t>ORD0225</t>
  </si>
  <si>
    <t>ORD0226</t>
  </si>
  <si>
    <t>ORD0227</t>
  </si>
  <si>
    <t>ORD0228</t>
  </si>
  <si>
    <t>ORD0229</t>
  </si>
  <si>
    <t>ORD0230</t>
  </si>
  <si>
    <t>ORD0231</t>
  </si>
  <si>
    <t>ORD0232</t>
  </si>
  <si>
    <t>ORD0233</t>
  </si>
  <si>
    <t>ORD0234</t>
  </si>
  <si>
    <t>ORD0235</t>
  </si>
  <si>
    <t>ORD0236</t>
  </si>
  <si>
    <t>ORD0237</t>
  </si>
  <si>
    <t>ORD0238</t>
  </si>
  <si>
    <t>ORD0239</t>
  </si>
  <si>
    <t>ORD0240</t>
  </si>
  <si>
    <t>ORD0241</t>
  </si>
  <si>
    <t>ORD0242</t>
  </si>
  <si>
    <t>ORD0243</t>
  </si>
  <si>
    <t>ORD0244</t>
  </si>
  <si>
    <t>ORD0245</t>
  </si>
  <si>
    <t>ORD0246</t>
  </si>
  <si>
    <t>ORD0247</t>
  </si>
  <si>
    <t>ORD0248</t>
  </si>
  <si>
    <t>ORD0249</t>
  </si>
  <si>
    <t>ORD0250</t>
  </si>
  <si>
    <t>Month</t>
  </si>
  <si>
    <t>Sum of Total Sales</t>
  </si>
  <si>
    <t>Sum of Price</t>
  </si>
  <si>
    <t>Das</t>
  </si>
  <si>
    <t>Row Labels</t>
  </si>
  <si>
    <t>Grand Total</t>
  </si>
  <si>
    <t>Apr-2025</t>
  </si>
  <si>
    <t>Feb-2025</t>
  </si>
  <si>
    <t>Mar-2025</t>
  </si>
  <si>
    <t>Feb</t>
  </si>
  <si>
    <t>Mar</t>
  </si>
  <si>
    <t>Apr</t>
  </si>
  <si>
    <t>Sum of Quantity</t>
  </si>
  <si>
    <t>week from date</t>
  </si>
  <si>
    <t>Apr-2025-week1</t>
  </si>
  <si>
    <t>Feb-2025-week1</t>
  </si>
  <si>
    <t>Feb-2025-week2</t>
  </si>
  <si>
    <t>Feb-2025-week3</t>
  </si>
  <si>
    <t>Feb-2025-week4</t>
  </si>
  <si>
    <t>Mar-2025-week1</t>
  </si>
  <si>
    <t>Mar-2025-week2</t>
  </si>
  <si>
    <t>Mar-2025-week3</t>
  </si>
  <si>
    <t>Mar-2025-week4</t>
  </si>
  <si>
    <t>Mar-2025-week5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</si>
</sst>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0.00"/>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2">
    <xf numFmtId="0" fontId="0" fillId="0" borderId="0" xfId="0"/>
    <xf numFmtId="14" fontId="0" fillId="0" borderId="0" xfId="0" applyNumberFormat="1"/>
    <xf numFmtId="0" fontId="0" fillId="0" borderId="0" xfId="0" applyAlignment="1">
      <alignment horizontal="center"/>
    </xf>
    <xf numFmtId="14" fontId="0" fillId="0" borderId="0" xfId="0" applyNumberFormat="1" applyAlignment="1">
      <alignment horizontal="center"/>
    </xf>
    <xf numFmtId="2" fontId="0" fillId="0" borderId="0" xfId="0" applyNumberFormat="1" applyAlignment="1">
      <alignment horizontal="center"/>
    </xf>
    <xf numFmtId="2" fontId="0" fillId="0" borderId="0" xfId="0" applyNumberFormat="1"/>
    <xf numFmtId="164" fontId="0" fillId="0" borderId="0" xfId="0" applyNumberFormat="1" applyAlignment="1">
      <alignment horizontal="center"/>
    </xf>
    <xf numFmtId="164" fontId="0" fillId="0" borderId="0" xfId="0" applyNumberFormat="1"/>
    <xf numFmtId="0" fontId="0" fillId="0" borderId="0" xfId="0" pivotButton="1"/>
    <xf numFmtId="0" fontId="0" fillId="0" borderId="0" xfId="0" applyAlignment="1">
      <alignment horizontal="left"/>
    </xf>
    <xf numFmtId="14" fontId="0" fillId="0" borderId="0" xfId="0" applyNumberFormat="1" applyAlignment="1">
      <alignment horizontal="left" indent="1"/>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5.xml"/><Relationship Id="rId13" Type="http://schemas.openxmlformats.org/officeDocument/2006/relationships/pivotCacheDefinition" Target="pivotCache/pivotCacheDefinition10.xml"/><Relationship Id="rId18" Type="http://schemas.openxmlformats.org/officeDocument/2006/relationships/pivotCacheDefinition" Target="pivotCache/pivotCacheDefinition15.xml"/><Relationship Id="rId26" Type="http://schemas.openxmlformats.org/officeDocument/2006/relationships/powerPivotData" Target="model/item.data"/><Relationship Id="rId3" Type="http://schemas.openxmlformats.org/officeDocument/2006/relationships/worksheet" Target="worksheets/sheet3.xml"/><Relationship Id="rId21" Type="http://schemas.microsoft.com/office/2007/relationships/slicerCache" Target="slicerCaches/slicerCache2.xml"/><Relationship Id="rId7" Type="http://schemas.openxmlformats.org/officeDocument/2006/relationships/pivotCacheDefinition" Target="pivotCache/pivotCacheDefinition4.xml"/><Relationship Id="rId12" Type="http://schemas.openxmlformats.org/officeDocument/2006/relationships/pivotCacheDefinition" Target="pivotCache/pivotCacheDefinition9.xml"/><Relationship Id="rId17" Type="http://schemas.openxmlformats.org/officeDocument/2006/relationships/pivotCacheDefinition" Target="pivotCache/pivotCacheDefinition14.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13.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pivotCacheDefinition" Target="pivotCache/pivotCacheDefinition8.xml"/><Relationship Id="rId24" Type="http://schemas.openxmlformats.org/officeDocument/2006/relationships/styles" Target="styles.xml"/><Relationship Id="rId5" Type="http://schemas.openxmlformats.org/officeDocument/2006/relationships/pivotCacheDefinition" Target="pivotCache/pivotCacheDefinition2.xml"/><Relationship Id="rId15" Type="http://schemas.openxmlformats.org/officeDocument/2006/relationships/pivotCacheDefinition" Target="pivotCache/pivotCacheDefinition12.xml"/><Relationship Id="rId23" Type="http://schemas.openxmlformats.org/officeDocument/2006/relationships/connections" Target="connections.xml"/><Relationship Id="rId10" Type="http://schemas.openxmlformats.org/officeDocument/2006/relationships/pivotCacheDefinition" Target="pivotCache/pivotCacheDefinition7.xml"/><Relationship Id="rId19" Type="http://schemas.openxmlformats.org/officeDocument/2006/relationships/pivotCacheDefinition" Target="pivotCache/pivotCacheDefinition16.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openxmlformats.org/officeDocument/2006/relationships/pivotCacheDefinition" Target="pivotCache/pivotCacheDefinition11.xml"/><Relationship Id="rId22" Type="http://schemas.openxmlformats.org/officeDocument/2006/relationships/theme" Target="theme/theme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 board.xlsm]caluculation!PivotTable4</c:name>
    <c:fmtId val="8"/>
  </c:pivotSource>
  <c:chart>
    <c:title>
      <c:tx>
        <c:rich>
          <a:bodyPr rot="0" spcFirstLastPara="1" vertOverflow="ellipsis" vert="horz" wrap="square" anchor="ctr" anchorCtr="1"/>
          <a:lstStyle/>
          <a:p>
            <a:pPr>
              <a:defRPr sz="1400" b="0" i="0" u="none" strike="noStrike" kern="1200" spc="0" baseline="0">
                <a:solidFill>
                  <a:srgbClr val="00B0F0"/>
                </a:solidFill>
                <a:latin typeface="+mn-lt"/>
                <a:ea typeface="+mn-ea"/>
                <a:cs typeface="+mn-cs"/>
              </a:defRPr>
            </a:pPr>
            <a:r>
              <a:rPr lang="en-US">
                <a:solidFill>
                  <a:srgbClr val="00B0F0"/>
                </a:solidFill>
              </a:rPr>
              <a:t>Total sales by Customer</a:t>
            </a:r>
          </a:p>
        </c:rich>
      </c:tx>
      <c:overlay val="0"/>
      <c:spPr>
        <a:solidFill>
          <a:schemeClr val="bg1"/>
        </a:solidFill>
        <a:ln>
          <a:noFill/>
        </a:ln>
        <a:effectLst/>
      </c:spPr>
      <c:txPr>
        <a:bodyPr rot="0" spcFirstLastPara="1" vertOverflow="ellipsis" vert="horz" wrap="square" anchor="ctr" anchorCtr="1"/>
        <a:lstStyle/>
        <a:p>
          <a:pPr>
            <a:defRPr sz="1400" b="0" i="0" u="none" strike="noStrike" kern="1200" spc="0" baseline="0">
              <a:solidFill>
                <a:srgbClr val="00B0F0"/>
              </a:solidFill>
              <a:latin typeface="+mn-lt"/>
              <a:ea typeface="+mn-ea"/>
              <a:cs typeface="+mn-cs"/>
            </a:defRPr>
          </a:pPr>
          <a:endParaRPr lang="en-US"/>
        </a:p>
      </c:txPr>
    </c:title>
    <c:autoTitleDeleted val="0"/>
    <c:pivotFmts>
      <c:pivotFmt>
        <c:idx val="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40000"/>
                      <a:lumOff val="6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40000"/>
                      <a:lumOff val="6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0C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caluculation!$B$6</c:f>
              <c:strCache>
                <c:ptCount val="1"/>
                <c:pt idx="0">
                  <c:v>Total</c:v>
                </c:pt>
              </c:strCache>
            </c:strRef>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0C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caluculation!$A$7:$A$17</c:f>
              <c:strCache>
                <c:ptCount val="10"/>
                <c:pt idx="0">
                  <c:v>Chris White</c:v>
                </c:pt>
                <c:pt idx="1">
                  <c:v>Daniel Harris</c:v>
                </c:pt>
                <c:pt idx="2">
                  <c:v>David Lee</c:v>
                </c:pt>
                <c:pt idx="3">
                  <c:v>Emily Johnson</c:v>
                </c:pt>
                <c:pt idx="4">
                  <c:v>Emma Clark</c:v>
                </c:pt>
                <c:pt idx="5">
                  <c:v>Jane Smith</c:v>
                </c:pt>
                <c:pt idx="6">
                  <c:v>John Doe</c:v>
                </c:pt>
                <c:pt idx="7">
                  <c:v>Michael Brown</c:v>
                </c:pt>
                <c:pt idx="8">
                  <c:v>Olivia Wilson</c:v>
                </c:pt>
                <c:pt idx="9">
                  <c:v>Sophia Miller</c:v>
                </c:pt>
              </c:strCache>
            </c:strRef>
          </c:cat>
          <c:val>
            <c:numRef>
              <c:f>caluculation!$B$7:$B$17</c:f>
              <c:numCache>
                <c:formatCode>General</c:formatCode>
                <c:ptCount val="10"/>
                <c:pt idx="0">
                  <c:v>18885</c:v>
                </c:pt>
                <c:pt idx="1">
                  <c:v>18945</c:v>
                </c:pt>
                <c:pt idx="2">
                  <c:v>22665</c:v>
                </c:pt>
                <c:pt idx="3">
                  <c:v>23475</c:v>
                </c:pt>
                <c:pt idx="4">
                  <c:v>29700</c:v>
                </c:pt>
                <c:pt idx="5">
                  <c:v>31185</c:v>
                </c:pt>
                <c:pt idx="6">
                  <c:v>26870</c:v>
                </c:pt>
                <c:pt idx="7">
                  <c:v>22655</c:v>
                </c:pt>
                <c:pt idx="8">
                  <c:v>36170</c:v>
                </c:pt>
                <c:pt idx="9">
                  <c:v>13295</c:v>
                </c:pt>
              </c:numCache>
            </c:numRef>
          </c:val>
          <c:extLst>
            <c:ext xmlns:c16="http://schemas.microsoft.com/office/drawing/2014/chart" uri="{C3380CC4-5D6E-409C-BE32-E72D297353CC}">
              <c16:uniqueId val="{00000000-DBD5-4141-AE75-D1606438ADF5}"/>
            </c:ext>
          </c:extLst>
        </c:ser>
        <c:dLbls>
          <c:showLegendKey val="0"/>
          <c:showVal val="0"/>
          <c:showCatName val="0"/>
          <c:showSerName val="0"/>
          <c:showPercent val="0"/>
          <c:showBubbleSize val="0"/>
        </c:dLbls>
        <c:gapWidth val="150"/>
        <c:overlap val="-27"/>
        <c:axId val="1858453199"/>
        <c:axId val="1858469999"/>
      </c:barChart>
      <c:catAx>
        <c:axId val="185845319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858469999"/>
        <c:crosses val="autoZero"/>
        <c:auto val="1"/>
        <c:lblAlgn val="ctr"/>
        <c:lblOffset val="100"/>
        <c:noMultiLvlLbl val="0"/>
      </c:catAx>
      <c:valAx>
        <c:axId val="1858469999"/>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8584531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 board.xlsm]caluculation!PivotTable6</c:name>
    <c:fmtId val="23"/>
  </c:pivotSource>
  <c:chart>
    <c:title>
      <c:tx>
        <c:rich>
          <a:bodyPr rot="0" spcFirstLastPara="1" vertOverflow="ellipsis" vert="horz" wrap="square" anchor="ctr" anchorCtr="1"/>
          <a:lstStyle/>
          <a:p>
            <a:pPr>
              <a:defRPr sz="1400" b="0" i="0" u="none" strike="noStrike" kern="1200" spc="0" baseline="0">
                <a:solidFill>
                  <a:srgbClr val="00B050"/>
                </a:solidFill>
                <a:latin typeface="+mn-lt"/>
                <a:ea typeface="+mn-ea"/>
                <a:cs typeface="+mn-cs"/>
              </a:defRPr>
            </a:pPr>
            <a:r>
              <a:rPr lang="en-US" sz="1400">
                <a:solidFill>
                  <a:srgbClr val="00B050"/>
                </a:solidFill>
                <a:latin typeface="Arial" panose="020B0604020202020204" pitchFamily="34" charset="0"/>
                <a:cs typeface="Arial" panose="020B0604020202020204" pitchFamily="34" charset="0"/>
              </a:rPr>
              <a:t>Total</a:t>
            </a:r>
            <a:r>
              <a:rPr lang="en-US" sz="1400" baseline="0">
                <a:solidFill>
                  <a:srgbClr val="00B050"/>
                </a:solidFill>
                <a:latin typeface="Arial" panose="020B0604020202020204" pitchFamily="34" charset="0"/>
                <a:cs typeface="Arial" panose="020B0604020202020204" pitchFamily="34" charset="0"/>
              </a:rPr>
              <a:t> sales by Location</a:t>
            </a:r>
            <a:endParaRPr lang="en-US" sz="1400">
              <a:solidFill>
                <a:srgbClr val="00B050"/>
              </a:solidFill>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00B050"/>
              </a:solidFill>
              <a:latin typeface="+mn-lt"/>
              <a:ea typeface="+mn-ea"/>
              <a:cs typeface="+mn-cs"/>
            </a:defRPr>
          </a:pPr>
          <a:endParaRPr lang="en-US"/>
        </a:p>
      </c:txPr>
    </c:title>
    <c:autoTitleDeleted val="0"/>
    <c:pivotFmts>
      <c:pivotFmt>
        <c:idx val="0"/>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7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caluculation!$E$15</c:f>
              <c:strCache>
                <c:ptCount val="1"/>
                <c:pt idx="0">
                  <c:v>Total</c:v>
                </c:pt>
              </c:strCache>
            </c:strRef>
          </c:tx>
          <c:spPr>
            <a:solidFill>
              <a:schemeClr val="accent2">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7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caluculation!$D$16:$D$26</c:f>
              <c:strCache>
                <c:ptCount val="10"/>
                <c:pt idx="0">
                  <c:v>San Francisco</c:v>
                </c:pt>
                <c:pt idx="1">
                  <c:v>Los Angeles</c:v>
                </c:pt>
                <c:pt idx="2">
                  <c:v>New York</c:v>
                </c:pt>
                <c:pt idx="3">
                  <c:v>Chicago</c:v>
                </c:pt>
                <c:pt idx="4">
                  <c:v>Boston</c:v>
                </c:pt>
                <c:pt idx="5">
                  <c:v>Seattle</c:v>
                </c:pt>
                <c:pt idx="6">
                  <c:v>Dallas</c:v>
                </c:pt>
                <c:pt idx="7">
                  <c:v>Houston</c:v>
                </c:pt>
                <c:pt idx="8">
                  <c:v>Denver</c:v>
                </c:pt>
                <c:pt idx="9">
                  <c:v>Miami</c:v>
                </c:pt>
              </c:strCache>
            </c:strRef>
          </c:cat>
          <c:val>
            <c:numRef>
              <c:f>caluculation!$E$16:$E$26</c:f>
              <c:numCache>
                <c:formatCode>General</c:formatCode>
                <c:ptCount val="10"/>
                <c:pt idx="0">
                  <c:v>16195</c:v>
                </c:pt>
                <c:pt idx="1">
                  <c:v>17820</c:v>
                </c:pt>
                <c:pt idx="2">
                  <c:v>18940</c:v>
                </c:pt>
                <c:pt idx="3">
                  <c:v>20810</c:v>
                </c:pt>
                <c:pt idx="4">
                  <c:v>26170</c:v>
                </c:pt>
                <c:pt idx="5">
                  <c:v>26890</c:v>
                </c:pt>
                <c:pt idx="6">
                  <c:v>27145</c:v>
                </c:pt>
                <c:pt idx="7">
                  <c:v>28390</c:v>
                </c:pt>
                <c:pt idx="8">
                  <c:v>29785</c:v>
                </c:pt>
                <c:pt idx="9">
                  <c:v>31700</c:v>
                </c:pt>
              </c:numCache>
            </c:numRef>
          </c:val>
          <c:extLst>
            <c:ext xmlns:c16="http://schemas.microsoft.com/office/drawing/2014/chart" uri="{C3380CC4-5D6E-409C-BE32-E72D297353CC}">
              <c16:uniqueId val="{00000000-17B4-40C3-84DD-26FC9B296AA1}"/>
            </c:ext>
          </c:extLst>
        </c:ser>
        <c:dLbls>
          <c:dLblPos val="inEnd"/>
          <c:showLegendKey val="0"/>
          <c:showVal val="1"/>
          <c:showCatName val="0"/>
          <c:showSerName val="0"/>
          <c:showPercent val="0"/>
          <c:showBubbleSize val="0"/>
        </c:dLbls>
        <c:gapWidth val="20"/>
        <c:overlap val="5"/>
        <c:axId val="1892465167"/>
        <c:axId val="1892467567"/>
      </c:barChart>
      <c:catAx>
        <c:axId val="1892465167"/>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892467567"/>
        <c:crosses val="autoZero"/>
        <c:auto val="1"/>
        <c:lblAlgn val="ctr"/>
        <c:lblOffset val="100"/>
        <c:noMultiLvlLbl val="0"/>
      </c:catAx>
      <c:valAx>
        <c:axId val="1892467567"/>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892465167"/>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 board.xlsm]caluculation!PivotTable7</c:name>
    <c:fmtId val="9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rgbClr val="FF0000"/>
                </a:solidFill>
              </a:rPr>
              <a:t>Sales</a:t>
            </a:r>
            <a:r>
              <a:rPr lang="en-US" b="1" baseline="0">
                <a:solidFill>
                  <a:srgbClr val="FF0000"/>
                </a:solidFill>
              </a:rPr>
              <a:t> by Date</a:t>
            </a:r>
            <a:endParaRPr lang="en-US" b="1">
              <a:solidFill>
                <a:srgbClr val="FF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lumMod val="40000"/>
              <a:lumOff val="60000"/>
            </a:schemeClr>
          </a:solidFill>
          <a:ln>
            <a:solidFill>
              <a:schemeClr val="accent1">
                <a:shade val="15000"/>
                <a:alpha val="25000"/>
              </a:schemeClr>
            </a:solid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7306917960556132E-2"/>
          <c:y val="0.13482580466915323"/>
          <c:w val="0.85177171135546392"/>
          <c:h val="0.36165824008841002"/>
        </c:manualLayout>
      </c:layout>
      <c:areaChart>
        <c:grouping val="stacked"/>
        <c:varyColors val="0"/>
        <c:ser>
          <c:idx val="0"/>
          <c:order val="0"/>
          <c:tx>
            <c:strRef>
              <c:f>caluculation!$H$6</c:f>
              <c:strCache>
                <c:ptCount val="1"/>
                <c:pt idx="0">
                  <c:v>Total</c:v>
                </c:pt>
              </c:strCache>
            </c:strRef>
          </c:tx>
          <c:spPr>
            <a:solidFill>
              <a:schemeClr val="accent3">
                <a:lumMod val="40000"/>
                <a:lumOff val="60000"/>
              </a:schemeClr>
            </a:solidFill>
            <a:ln>
              <a:solidFill>
                <a:schemeClr val="accent1">
                  <a:shade val="15000"/>
                  <a:alpha val="25000"/>
                </a:schemeClr>
              </a:solidFill>
            </a:ln>
            <a:effectLst>
              <a:softEdge rad="0"/>
            </a:effectLst>
          </c:spPr>
          <c:cat>
            <c:multiLvlStrRef>
              <c:f>caluculation!$G$7:$G$70</c:f>
              <c:multiLvlStrCache>
                <c:ptCount val="60"/>
                <c:lvl>
                  <c:pt idx="0">
                    <c:v>02-02-2025</c:v>
                  </c:pt>
                  <c:pt idx="1">
                    <c:v>03-02-2025</c:v>
                  </c:pt>
                  <c:pt idx="2">
                    <c:v>04-02-2025</c:v>
                  </c:pt>
                  <c:pt idx="3">
                    <c:v>05-02-2025</c:v>
                  </c:pt>
                  <c:pt idx="4">
                    <c:v>06-02-2025</c:v>
                  </c:pt>
                  <c:pt idx="5">
                    <c:v>07-02-2025</c:v>
                  </c:pt>
                  <c:pt idx="6">
                    <c:v>08-02-2025</c:v>
                  </c:pt>
                  <c:pt idx="7">
                    <c:v>09-02-2025</c:v>
                  </c:pt>
                  <c:pt idx="8">
                    <c:v>10-02-2025</c:v>
                  </c:pt>
                  <c:pt idx="9">
                    <c:v>11-02-2025</c:v>
                  </c:pt>
                  <c:pt idx="10">
                    <c:v>12-02-2025</c:v>
                  </c:pt>
                  <c:pt idx="11">
                    <c:v>13-02-2025</c:v>
                  </c:pt>
                  <c:pt idx="12">
                    <c:v>14-02-2025</c:v>
                  </c:pt>
                  <c:pt idx="13">
                    <c:v>15-02-2025</c:v>
                  </c:pt>
                  <c:pt idx="14">
                    <c:v>16-02-2025</c:v>
                  </c:pt>
                  <c:pt idx="15">
                    <c:v>17-02-2025</c:v>
                  </c:pt>
                  <c:pt idx="16">
                    <c:v>18-02-2025</c:v>
                  </c:pt>
                  <c:pt idx="17">
                    <c:v>19-02-2025</c:v>
                  </c:pt>
                  <c:pt idx="18">
                    <c:v>20-02-2025</c:v>
                  </c:pt>
                  <c:pt idx="19">
                    <c:v>21-02-2025</c:v>
                  </c:pt>
                  <c:pt idx="20">
                    <c:v>22-02-2025</c:v>
                  </c:pt>
                  <c:pt idx="21">
                    <c:v>23-02-2025</c:v>
                  </c:pt>
                  <c:pt idx="22">
                    <c:v>24-02-2025</c:v>
                  </c:pt>
                  <c:pt idx="23">
                    <c:v>25-02-2025</c:v>
                  </c:pt>
                  <c:pt idx="24">
                    <c:v>26-02-2025</c:v>
                  </c:pt>
                  <c:pt idx="25">
                    <c:v>27-02-2025</c:v>
                  </c:pt>
                  <c:pt idx="26">
                    <c:v>28-02-2025</c:v>
                  </c:pt>
                  <c:pt idx="27">
                    <c:v>01-03-2025</c:v>
                  </c:pt>
                  <c:pt idx="28">
                    <c:v>02-03-2025</c:v>
                  </c:pt>
                  <c:pt idx="29">
                    <c:v>03-03-2025</c:v>
                  </c:pt>
                  <c:pt idx="30">
                    <c:v>04-03-2025</c:v>
                  </c:pt>
                  <c:pt idx="31">
                    <c:v>05-03-2025</c:v>
                  </c:pt>
                  <c:pt idx="32">
                    <c:v>06-03-2025</c:v>
                  </c:pt>
                  <c:pt idx="33">
                    <c:v>07-03-2025</c:v>
                  </c:pt>
                  <c:pt idx="34">
                    <c:v>08-03-2025</c:v>
                  </c:pt>
                  <c:pt idx="35">
                    <c:v>09-03-2025</c:v>
                  </c:pt>
                  <c:pt idx="36">
                    <c:v>10-03-2025</c:v>
                  </c:pt>
                  <c:pt idx="37">
                    <c:v>11-03-2025</c:v>
                  </c:pt>
                  <c:pt idx="38">
                    <c:v>12-03-2025</c:v>
                  </c:pt>
                  <c:pt idx="39">
                    <c:v>13-03-2025</c:v>
                  </c:pt>
                  <c:pt idx="40">
                    <c:v>14-03-2025</c:v>
                  </c:pt>
                  <c:pt idx="41">
                    <c:v>15-03-2025</c:v>
                  </c:pt>
                  <c:pt idx="42">
                    <c:v>16-03-2025</c:v>
                  </c:pt>
                  <c:pt idx="43">
                    <c:v>17-03-2025</c:v>
                  </c:pt>
                  <c:pt idx="44">
                    <c:v>18-03-2025</c:v>
                  </c:pt>
                  <c:pt idx="45">
                    <c:v>19-03-2025</c:v>
                  </c:pt>
                  <c:pt idx="46">
                    <c:v>20-03-2025</c:v>
                  </c:pt>
                  <c:pt idx="47">
                    <c:v>21-03-2025</c:v>
                  </c:pt>
                  <c:pt idx="48">
                    <c:v>22-03-2025</c:v>
                  </c:pt>
                  <c:pt idx="49">
                    <c:v>23-03-2025</c:v>
                  </c:pt>
                  <c:pt idx="50">
                    <c:v>24-03-2025</c:v>
                  </c:pt>
                  <c:pt idx="51">
                    <c:v>25-03-2025</c:v>
                  </c:pt>
                  <c:pt idx="52">
                    <c:v>26-03-2025</c:v>
                  </c:pt>
                  <c:pt idx="53">
                    <c:v>27-03-2025</c:v>
                  </c:pt>
                  <c:pt idx="54">
                    <c:v>28-03-2025</c:v>
                  </c:pt>
                  <c:pt idx="55">
                    <c:v>29-03-2025</c:v>
                  </c:pt>
                  <c:pt idx="56">
                    <c:v>30-03-2025</c:v>
                  </c:pt>
                  <c:pt idx="57">
                    <c:v>31-03-2025</c:v>
                  </c:pt>
                  <c:pt idx="58">
                    <c:v>01-04-2025</c:v>
                  </c:pt>
                  <c:pt idx="59">
                    <c:v>02-04-2025</c:v>
                  </c:pt>
                </c:lvl>
                <c:lvl>
                  <c:pt idx="0">
                    <c:v>Feb</c:v>
                  </c:pt>
                  <c:pt idx="27">
                    <c:v>Mar</c:v>
                  </c:pt>
                  <c:pt idx="58">
                    <c:v>Apr</c:v>
                  </c:pt>
                </c:lvl>
              </c:multiLvlStrCache>
            </c:multiLvlStrRef>
          </c:cat>
          <c:val>
            <c:numRef>
              <c:f>caluculation!$H$7:$H$70</c:f>
              <c:numCache>
                <c:formatCode>General</c:formatCode>
                <c:ptCount val="60"/>
                <c:pt idx="0">
                  <c:v>3600</c:v>
                </c:pt>
                <c:pt idx="1">
                  <c:v>3360</c:v>
                </c:pt>
                <c:pt idx="2">
                  <c:v>6815</c:v>
                </c:pt>
                <c:pt idx="3">
                  <c:v>5400</c:v>
                </c:pt>
                <c:pt idx="4">
                  <c:v>11400</c:v>
                </c:pt>
                <c:pt idx="5">
                  <c:v>2520</c:v>
                </c:pt>
                <c:pt idx="6">
                  <c:v>1640</c:v>
                </c:pt>
                <c:pt idx="7">
                  <c:v>3550</c:v>
                </c:pt>
                <c:pt idx="8">
                  <c:v>10965</c:v>
                </c:pt>
                <c:pt idx="9">
                  <c:v>3550</c:v>
                </c:pt>
                <c:pt idx="10">
                  <c:v>3560</c:v>
                </c:pt>
                <c:pt idx="11">
                  <c:v>4860</c:v>
                </c:pt>
                <c:pt idx="12">
                  <c:v>1015</c:v>
                </c:pt>
                <c:pt idx="13">
                  <c:v>520</c:v>
                </c:pt>
                <c:pt idx="14">
                  <c:v>9540</c:v>
                </c:pt>
                <c:pt idx="15">
                  <c:v>1005</c:v>
                </c:pt>
                <c:pt idx="16">
                  <c:v>8810</c:v>
                </c:pt>
                <c:pt idx="17">
                  <c:v>2195</c:v>
                </c:pt>
                <c:pt idx="18">
                  <c:v>6730</c:v>
                </c:pt>
                <c:pt idx="19">
                  <c:v>4600</c:v>
                </c:pt>
                <c:pt idx="20">
                  <c:v>1800</c:v>
                </c:pt>
                <c:pt idx="21">
                  <c:v>2570</c:v>
                </c:pt>
                <c:pt idx="22">
                  <c:v>6900</c:v>
                </c:pt>
                <c:pt idx="23">
                  <c:v>6300</c:v>
                </c:pt>
                <c:pt idx="24">
                  <c:v>1980</c:v>
                </c:pt>
                <c:pt idx="25">
                  <c:v>300</c:v>
                </c:pt>
                <c:pt idx="26">
                  <c:v>7210</c:v>
                </c:pt>
                <c:pt idx="27">
                  <c:v>1800</c:v>
                </c:pt>
                <c:pt idx="28">
                  <c:v>4575</c:v>
                </c:pt>
                <c:pt idx="29">
                  <c:v>120</c:v>
                </c:pt>
                <c:pt idx="30">
                  <c:v>5900</c:v>
                </c:pt>
                <c:pt idx="31">
                  <c:v>2900</c:v>
                </c:pt>
                <c:pt idx="32">
                  <c:v>9720</c:v>
                </c:pt>
                <c:pt idx="33">
                  <c:v>8660</c:v>
                </c:pt>
                <c:pt idx="34">
                  <c:v>3125</c:v>
                </c:pt>
                <c:pt idx="35">
                  <c:v>200</c:v>
                </c:pt>
                <c:pt idx="36">
                  <c:v>3965</c:v>
                </c:pt>
                <c:pt idx="37">
                  <c:v>1240</c:v>
                </c:pt>
                <c:pt idx="38">
                  <c:v>710</c:v>
                </c:pt>
                <c:pt idx="39">
                  <c:v>4160</c:v>
                </c:pt>
                <c:pt idx="40">
                  <c:v>4350</c:v>
                </c:pt>
                <c:pt idx="41">
                  <c:v>7190</c:v>
                </c:pt>
                <c:pt idx="42">
                  <c:v>2735</c:v>
                </c:pt>
                <c:pt idx="43">
                  <c:v>540</c:v>
                </c:pt>
                <c:pt idx="44">
                  <c:v>3700</c:v>
                </c:pt>
                <c:pt idx="45">
                  <c:v>4115</c:v>
                </c:pt>
                <c:pt idx="46">
                  <c:v>3630</c:v>
                </c:pt>
                <c:pt idx="47">
                  <c:v>1960</c:v>
                </c:pt>
                <c:pt idx="48">
                  <c:v>950</c:v>
                </c:pt>
                <c:pt idx="49">
                  <c:v>3900</c:v>
                </c:pt>
                <c:pt idx="50">
                  <c:v>9520</c:v>
                </c:pt>
                <c:pt idx="51">
                  <c:v>6015</c:v>
                </c:pt>
                <c:pt idx="52">
                  <c:v>2970</c:v>
                </c:pt>
                <c:pt idx="53">
                  <c:v>15</c:v>
                </c:pt>
                <c:pt idx="54">
                  <c:v>2400</c:v>
                </c:pt>
                <c:pt idx="55">
                  <c:v>2600</c:v>
                </c:pt>
                <c:pt idx="56">
                  <c:v>7465</c:v>
                </c:pt>
                <c:pt idx="57">
                  <c:v>6600</c:v>
                </c:pt>
                <c:pt idx="58">
                  <c:v>320</c:v>
                </c:pt>
                <c:pt idx="59">
                  <c:v>3100</c:v>
                </c:pt>
              </c:numCache>
            </c:numRef>
          </c:val>
          <c:extLst>
            <c:ext xmlns:c16="http://schemas.microsoft.com/office/drawing/2014/chart" uri="{C3380CC4-5D6E-409C-BE32-E72D297353CC}">
              <c16:uniqueId val="{00000000-9CE8-4DEA-90DD-5975A644498A}"/>
            </c:ext>
          </c:extLst>
        </c:ser>
        <c:dLbls>
          <c:showLegendKey val="0"/>
          <c:showVal val="0"/>
          <c:showCatName val="0"/>
          <c:showSerName val="0"/>
          <c:showPercent val="0"/>
          <c:showBubbleSize val="0"/>
        </c:dLbls>
        <c:axId val="1892498287"/>
        <c:axId val="1892487727"/>
      </c:areaChart>
      <c:catAx>
        <c:axId val="189249828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892487727"/>
        <c:crosses val="autoZero"/>
        <c:auto val="1"/>
        <c:lblAlgn val="ctr"/>
        <c:lblOffset val="100"/>
        <c:noMultiLvlLbl val="0"/>
      </c:catAx>
      <c:valAx>
        <c:axId val="189248772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892498287"/>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hade val="15000"/>
          <a:alpha val="9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 board.xlsm]caluculation!PivotTable8</c:name>
    <c:fmtId val="8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5">
                    <a:lumMod val="75000"/>
                  </a:schemeClr>
                </a:solidFill>
              </a:rPr>
              <a:t>Payment Gateway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manualLayout>
          <c:layoutTarget val="inner"/>
          <c:xMode val="edge"/>
          <c:yMode val="edge"/>
          <c:x val="0.26763172518744605"/>
          <c:y val="0.17530754307885427"/>
          <c:w val="0.46084211786230306"/>
          <c:h val="0.61512404427707401"/>
        </c:manualLayout>
      </c:layout>
      <c:doughnutChart>
        <c:varyColors val="1"/>
        <c:ser>
          <c:idx val="0"/>
          <c:order val="0"/>
          <c:tx>
            <c:strRef>
              <c:f>caluculation!$B$20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AB8-4211-91F8-583DAE1C543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AB8-4211-91F8-583DAE1C543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AB8-4211-91F8-583DAE1C543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AB8-4211-91F8-583DAE1C543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AB8-4211-91F8-583DAE1C543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caluculation!$A$21:$A$26</c:f>
              <c:strCache>
                <c:ptCount val="5"/>
                <c:pt idx="0">
                  <c:v>Amazon Pay</c:v>
                </c:pt>
                <c:pt idx="1">
                  <c:v>Credit Card</c:v>
                </c:pt>
                <c:pt idx="2">
                  <c:v>Debit Card</c:v>
                </c:pt>
                <c:pt idx="3">
                  <c:v>Gift Card</c:v>
                </c:pt>
                <c:pt idx="4">
                  <c:v>PayPal</c:v>
                </c:pt>
              </c:strCache>
            </c:strRef>
          </c:cat>
          <c:val>
            <c:numRef>
              <c:f>caluculation!$B$21:$B$26</c:f>
              <c:numCache>
                <c:formatCode>General</c:formatCode>
                <c:ptCount val="5"/>
                <c:pt idx="0">
                  <c:v>32750</c:v>
                </c:pt>
                <c:pt idx="1">
                  <c:v>61595</c:v>
                </c:pt>
                <c:pt idx="2">
                  <c:v>31900</c:v>
                </c:pt>
                <c:pt idx="3">
                  <c:v>47955</c:v>
                </c:pt>
                <c:pt idx="4">
                  <c:v>69645</c:v>
                </c:pt>
              </c:numCache>
            </c:numRef>
          </c:val>
          <c:extLst>
            <c:ext xmlns:c16="http://schemas.microsoft.com/office/drawing/2014/chart" uri="{C3380CC4-5D6E-409C-BE32-E72D297353CC}">
              <c16:uniqueId val="{0000000A-7AB8-4211-91F8-583DAE1C543B}"/>
            </c:ext>
          </c:extLst>
        </c:ser>
        <c:dLbls>
          <c:showLegendKey val="0"/>
          <c:showVal val="1"/>
          <c:showCatName val="0"/>
          <c:showSerName val="0"/>
          <c:showPercent val="0"/>
          <c:showBubbleSize val="0"/>
          <c:showLeaderLines val="1"/>
        </c:dLbls>
        <c:firstSliceAng val="0"/>
        <c:holeSize val="60"/>
      </c:doughnutChart>
      <c:spPr>
        <a:noFill/>
        <a:ln>
          <a:noFill/>
        </a:ln>
        <a:effectLst/>
      </c:spPr>
    </c:plotArea>
    <c:legend>
      <c:legendPos val="r"/>
      <c:layout>
        <c:manualLayout>
          <c:xMode val="edge"/>
          <c:yMode val="edge"/>
          <c:x val="4.4965161113818437E-2"/>
          <c:y val="0.85641857811251854"/>
          <c:w val="0.94200552292526951"/>
          <c:h val="0.1398584959488759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 board.xlsm]caluculation!PivotTable9</c:name>
    <c:fmtId val="9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2">
                    <a:lumMod val="90000"/>
                    <a:lumOff val="10000"/>
                  </a:schemeClr>
                </a:solidFill>
              </a:rPr>
              <a:t>Payment 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92D05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60000"/>
              <a:lumOff val="40000"/>
            </a:schemeClr>
          </a:solidFill>
          <a:ln w="19050">
            <a:solidFill>
              <a:schemeClr val="lt1"/>
            </a:solidFill>
          </a:ln>
          <a:effectLst/>
        </c:spPr>
      </c:pivotFmt>
      <c:pivotFmt>
        <c:idx val="2"/>
        <c:spPr>
          <a:solidFill>
            <a:srgbClr val="92D05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lumMod val="60000"/>
              <a:lumOff val="40000"/>
            </a:schemeClr>
          </a:solidFill>
          <a:ln w="19050">
            <a:solidFill>
              <a:schemeClr val="lt1"/>
            </a:solidFill>
          </a:ln>
          <a:effectLst/>
        </c:spPr>
      </c:pivotFmt>
      <c:pivotFmt>
        <c:idx val="4"/>
        <c:spPr>
          <a:solidFill>
            <a:schemeClr val="accent2">
              <a:lumMod val="75000"/>
            </a:schemeClr>
          </a:solidFill>
          <a:ln w="19050">
            <a:solidFill>
              <a:schemeClr val="lt1"/>
            </a:solidFill>
          </a:ln>
          <a:effectLst/>
        </c:spPr>
      </c:pivotFmt>
      <c:pivotFmt>
        <c:idx val="5"/>
        <c:spPr>
          <a:solidFill>
            <a:srgbClr val="92D050"/>
          </a:solidFill>
          <a:ln w="19050">
            <a:solidFill>
              <a:schemeClr val="lt1"/>
            </a:solidFill>
          </a:ln>
          <a:effectLst/>
        </c:spPr>
      </c:pivotFmt>
      <c:pivotFmt>
        <c:idx val="6"/>
        <c:spPr>
          <a:solidFill>
            <a:srgbClr val="92D05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lumMod val="60000"/>
              <a:lumOff val="40000"/>
            </a:schemeClr>
          </a:solidFill>
          <a:ln w="19050">
            <a:solidFill>
              <a:schemeClr val="lt1"/>
            </a:solidFill>
          </a:ln>
          <a:effectLst/>
        </c:spPr>
      </c:pivotFmt>
      <c:pivotFmt>
        <c:idx val="8"/>
        <c:spPr>
          <a:solidFill>
            <a:schemeClr val="accent2">
              <a:lumMod val="75000"/>
            </a:schemeClr>
          </a:solidFill>
          <a:ln w="19050">
            <a:solidFill>
              <a:schemeClr val="lt1"/>
            </a:solidFill>
          </a:ln>
          <a:effectLst/>
        </c:spPr>
      </c:pivotFmt>
      <c:pivotFmt>
        <c:idx val="9"/>
        <c:spPr>
          <a:solidFill>
            <a:srgbClr val="92D050"/>
          </a:solidFill>
          <a:ln w="19050">
            <a:solidFill>
              <a:schemeClr val="lt1"/>
            </a:solidFill>
          </a:ln>
          <a:effectLst/>
        </c:spPr>
      </c:pivotFmt>
    </c:pivotFmts>
    <c:plotArea>
      <c:layout/>
      <c:pieChart>
        <c:varyColors val="1"/>
        <c:ser>
          <c:idx val="0"/>
          <c:order val="0"/>
          <c:tx>
            <c:strRef>
              <c:f>caluculation!$B$29</c:f>
              <c:strCache>
                <c:ptCount val="1"/>
                <c:pt idx="0">
                  <c:v>Total</c:v>
                </c:pt>
              </c:strCache>
            </c:strRef>
          </c:tx>
          <c:spPr>
            <a:solidFill>
              <a:srgbClr val="92D050"/>
            </a:solidFill>
          </c:spPr>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146A-4A71-A310-748F0AC96F43}"/>
              </c:ext>
            </c:extLst>
          </c:dPt>
          <c:dPt>
            <c:idx val="1"/>
            <c:bubble3D val="0"/>
            <c:spPr>
              <a:solidFill>
                <a:schemeClr val="accent2">
                  <a:lumMod val="75000"/>
                </a:schemeClr>
              </a:solidFill>
              <a:ln w="19050">
                <a:solidFill>
                  <a:schemeClr val="lt1"/>
                </a:solidFill>
              </a:ln>
              <a:effectLst/>
            </c:spPr>
            <c:extLst>
              <c:ext xmlns:c16="http://schemas.microsoft.com/office/drawing/2014/chart" uri="{C3380CC4-5D6E-409C-BE32-E72D297353CC}">
                <c16:uniqueId val="{00000003-146A-4A71-A310-748F0AC96F43}"/>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05-146A-4A71-A310-748F0AC96F4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caluculation!$A$30:$A$33</c:f>
              <c:strCache>
                <c:ptCount val="3"/>
                <c:pt idx="0">
                  <c:v>Cancelled</c:v>
                </c:pt>
                <c:pt idx="1">
                  <c:v>Completed</c:v>
                </c:pt>
                <c:pt idx="2">
                  <c:v>Pending</c:v>
                </c:pt>
              </c:strCache>
            </c:strRef>
          </c:cat>
          <c:val>
            <c:numRef>
              <c:f>caluculation!$B$30:$B$33</c:f>
              <c:numCache>
                <c:formatCode>General</c:formatCode>
                <c:ptCount val="3"/>
                <c:pt idx="0">
                  <c:v>65030</c:v>
                </c:pt>
                <c:pt idx="1">
                  <c:v>88530</c:v>
                </c:pt>
                <c:pt idx="2">
                  <c:v>90285</c:v>
                </c:pt>
              </c:numCache>
            </c:numRef>
          </c:val>
          <c:extLst>
            <c:ext xmlns:c16="http://schemas.microsoft.com/office/drawing/2014/chart" uri="{C3380CC4-5D6E-409C-BE32-E72D297353CC}">
              <c16:uniqueId val="{00000006-146A-4A71-A310-748F0AC96F43}"/>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 board.xlsm]caluculation!PivotTable11</c:name>
    <c:fmtId val="94"/>
  </c:pivotSource>
  <c:chart>
    <c:title>
      <c:tx>
        <c:rich>
          <a:bodyPr rot="0" spcFirstLastPara="1" vertOverflow="ellipsis" vert="horz" wrap="square" anchor="ctr" anchorCtr="1"/>
          <a:lstStyle/>
          <a:p>
            <a:pPr>
              <a:defRPr sz="1400" b="0" i="0" u="none" strike="noStrike" kern="1200" spc="0" baseline="0">
                <a:solidFill>
                  <a:schemeClr val="accent2">
                    <a:lumMod val="75000"/>
                  </a:schemeClr>
                </a:solidFill>
                <a:latin typeface="+mn-lt"/>
                <a:ea typeface="+mn-ea"/>
                <a:cs typeface="+mn-cs"/>
              </a:defRPr>
            </a:pPr>
            <a:r>
              <a:rPr lang="en-US">
                <a:solidFill>
                  <a:schemeClr val="accent2">
                    <a:lumMod val="75000"/>
                  </a:schemeClr>
                </a:solidFill>
              </a:rPr>
              <a:t>Total sales by Product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accent2">
                  <a:lumMod val="75000"/>
                </a:schemeClr>
              </a:solidFill>
              <a:latin typeface="+mn-lt"/>
              <a:ea typeface="+mn-ea"/>
              <a:cs typeface="+mn-cs"/>
            </a:defRPr>
          </a:pPr>
          <a:endParaRPr lang="en-US"/>
        </a:p>
      </c:txPr>
    </c:title>
    <c:autoTitleDeleted val="0"/>
    <c:pivotFmts>
      <c:pivotFmt>
        <c:idx val="0"/>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60000"/>
              <a:lumOff val="40000"/>
            </a:schemeClr>
          </a:solidFill>
          <a:ln>
            <a:noFill/>
          </a:ln>
          <a:effectLst/>
        </c:spPr>
      </c:pivotFmt>
      <c:pivotFmt>
        <c:idx val="2"/>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061623389776713"/>
          <c:y val="0.21251418323727458"/>
          <c:w val="0.72563919730640658"/>
          <c:h val="0.65502532116714229"/>
        </c:manualLayout>
      </c:layout>
      <c:barChart>
        <c:barDir val="bar"/>
        <c:grouping val="clustered"/>
        <c:varyColors val="0"/>
        <c:ser>
          <c:idx val="0"/>
          <c:order val="0"/>
          <c:tx>
            <c:strRef>
              <c:f>caluculation!$K$6</c:f>
              <c:strCache>
                <c:ptCount val="1"/>
                <c:pt idx="0">
                  <c:v>Total</c:v>
                </c:pt>
              </c:strCache>
            </c:strRef>
          </c:tx>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caluculation!$J$7:$J$17</c:f>
              <c:strCache>
                <c:ptCount val="10"/>
                <c:pt idx="0">
                  <c:v>Book</c:v>
                </c:pt>
                <c:pt idx="1">
                  <c:v>T-Shirt</c:v>
                </c:pt>
                <c:pt idx="2">
                  <c:v>Jeans</c:v>
                </c:pt>
                <c:pt idx="3">
                  <c:v>Running Shoes</c:v>
                </c:pt>
                <c:pt idx="4">
                  <c:v>Headphones</c:v>
                </c:pt>
                <c:pt idx="5">
                  <c:v>Smartwatch</c:v>
                </c:pt>
                <c:pt idx="6">
                  <c:v>Washing Machine</c:v>
                </c:pt>
                <c:pt idx="7">
                  <c:v>Smartphone</c:v>
                </c:pt>
                <c:pt idx="8">
                  <c:v>Laptop</c:v>
                </c:pt>
                <c:pt idx="9">
                  <c:v>Refrigerator</c:v>
                </c:pt>
              </c:strCache>
            </c:strRef>
          </c:cat>
          <c:val>
            <c:numRef>
              <c:f>caluculation!$K$7:$K$17</c:f>
              <c:numCache>
                <c:formatCode>General</c:formatCode>
                <c:ptCount val="10"/>
                <c:pt idx="0">
                  <c:v>1035</c:v>
                </c:pt>
                <c:pt idx="1">
                  <c:v>1060</c:v>
                </c:pt>
                <c:pt idx="2">
                  <c:v>2480</c:v>
                </c:pt>
                <c:pt idx="3">
                  <c:v>4320</c:v>
                </c:pt>
                <c:pt idx="4">
                  <c:v>7300</c:v>
                </c:pt>
                <c:pt idx="5">
                  <c:v>15750</c:v>
                </c:pt>
                <c:pt idx="6">
                  <c:v>27000</c:v>
                </c:pt>
                <c:pt idx="7">
                  <c:v>48500</c:v>
                </c:pt>
                <c:pt idx="8">
                  <c:v>58400</c:v>
                </c:pt>
                <c:pt idx="9">
                  <c:v>78000</c:v>
                </c:pt>
              </c:numCache>
            </c:numRef>
          </c:val>
          <c:extLst>
            <c:ext xmlns:c16="http://schemas.microsoft.com/office/drawing/2014/chart" uri="{C3380CC4-5D6E-409C-BE32-E72D297353CC}">
              <c16:uniqueId val="{00000000-52D2-4C6A-8938-F80BD9A4F08B}"/>
            </c:ext>
          </c:extLst>
        </c:ser>
        <c:dLbls>
          <c:showLegendKey val="0"/>
          <c:showVal val="0"/>
          <c:showCatName val="0"/>
          <c:showSerName val="0"/>
          <c:showPercent val="0"/>
          <c:showBubbleSize val="0"/>
        </c:dLbls>
        <c:gapWidth val="100"/>
        <c:axId val="1892487727"/>
        <c:axId val="1892488207"/>
      </c:barChart>
      <c:catAx>
        <c:axId val="18924877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892488207"/>
        <c:crosses val="autoZero"/>
        <c:auto val="1"/>
        <c:lblAlgn val="ctr"/>
        <c:lblOffset val="100"/>
        <c:noMultiLvlLbl val="0"/>
      </c:catAx>
      <c:valAx>
        <c:axId val="189248820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8924877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 board.xlsm]caluculation!PivotTable13</c:name>
    <c:fmtId val="77"/>
  </c:pivotSource>
  <c:chart>
    <c:title>
      <c:tx>
        <c:rich>
          <a:bodyPr rot="0" spcFirstLastPara="1" vertOverflow="ellipsis" vert="horz" wrap="square" anchor="ctr" anchorCtr="1"/>
          <a:lstStyle/>
          <a:p>
            <a:pPr>
              <a:defRPr sz="1400" b="0" i="0" u="none" strike="noStrike" kern="1200" spc="0" baseline="0">
                <a:solidFill>
                  <a:srgbClr val="FFC000"/>
                </a:solidFill>
                <a:latin typeface="+mn-lt"/>
                <a:ea typeface="+mn-ea"/>
                <a:cs typeface="+mn-cs"/>
              </a:defRPr>
            </a:pPr>
            <a:r>
              <a:rPr lang="en-US">
                <a:solidFill>
                  <a:srgbClr val="FFC000"/>
                </a:solidFill>
              </a:rPr>
              <a:t>Quantity by product</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FFC000"/>
              </a:solidFill>
              <a:latin typeface="+mn-lt"/>
              <a:ea typeface="+mn-ea"/>
              <a:cs typeface="+mn-cs"/>
            </a:defRPr>
          </a:pPr>
          <a:endParaRPr lang="en-US"/>
        </a:p>
      </c:txPr>
    </c:title>
    <c:autoTitleDeleted val="0"/>
    <c:pivotFmts>
      <c:pivotFmt>
        <c:idx val="0"/>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caluculation!$K$21</c:f>
              <c:strCache>
                <c:ptCount val="1"/>
                <c:pt idx="0">
                  <c:v>Total</c:v>
                </c:pt>
              </c:strCache>
            </c:strRef>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caluculation!$J$22:$J$27</c:f>
              <c:strCache>
                <c:ptCount val="5"/>
                <c:pt idx="0">
                  <c:v>Books</c:v>
                </c:pt>
                <c:pt idx="1">
                  <c:v>Clothing</c:v>
                </c:pt>
                <c:pt idx="2">
                  <c:v>Electronics</c:v>
                </c:pt>
                <c:pt idx="3">
                  <c:v>Footwear</c:v>
                </c:pt>
                <c:pt idx="4">
                  <c:v>Home Appliances</c:v>
                </c:pt>
              </c:strCache>
            </c:strRef>
          </c:cat>
          <c:val>
            <c:numRef>
              <c:f>caluculation!$K$22:$K$27</c:f>
              <c:numCache>
                <c:formatCode>General</c:formatCode>
                <c:ptCount val="5"/>
                <c:pt idx="0">
                  <c:v>69</c:v>
                </c:pt>
                <c:pt idx="1">
                  <c:v>115</c:v>
                </c:pt>
                <c:pt idx="2">
                  <c:v>348</c:v>
                </c:pt>
                <c:pt idx="3">
                  <c:v>72</c:v>
                </c:pt>
                <c:pt idx="4">
                  <c:v>110</c:v>
                </c:pt>
              </c:numCache>
            </c:numRef>
          </c:val>
          <c:extLst>
            <c:ext xmlns:c16="http://schemas.microsoft.com/office/drawing/2014/chart" uri="{C3380CC4-5D6E-409C-BE32-E72D297353CC}">
              <c16:uniqueId val="{00000000-ABE7-43FD-AFCB-50C4AEFDE53A}"/>
            </c:ext>
          </c:extLst>
        </c:ser>
        <c:dLbls>
          <c:dLblPos val="inEnd"/>
          <c:showLegendKey val="0"/>
          <c:showVal val="1"/>
          <c:showCatName val="0"/>
          <c:showSerName val="0"/>
          <c:showPercent val="0"/>
          <c:showBubbleSize val="0"/>
        </c:dLbls>
        <c:gapWidth val="250"/>
        <c:overlap val="-27"/>
        <c:axId val="1892464687"/>
        <c:axId val="1892465167"/>
      </c:barChart>
      <c:catAx>
        <c:axId val="189246468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892465167"/>
        <c:crosses val="autoZero"/>
        <c:auto val="1"/>
        <c:lblAlgn val="ctr"/>
        <c:lblOffset val="100"/>
        <c:noMultiLvlLbl val="0"/>
      </c:catAx>
      <c:valAx>
        <c:axId val="1892465167"/>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8924646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1076326</xdr:colOff>
      <xdr:row>3</xdr:row>
      <xdr:rowOff>180974</xdr:rowOff>
    </xdr:from>
    <xdr:to>
      <xdr:col>15</xdr:col>
      <xdr:colOff>257176</xdr:colOff>
      <xdr:row>13</xdr:row>
      <xdr:rowOff>85725</xdr:rowOff>
    </xdr:to>
    <mc:AlternateContent xmlns:mc="http://schemas.openxmlformats.org/markup-compatibility/2006" xmlns:a14="http://schemas.microsoft.com/office/drawing/2010/main">
      <mc:Choice Requires="a14">
        <xdr:graphicFrame macro="">
          <xdr:nvGraphicFramePr>
            <xdr:cNvPr id="20" name="Category 1">
              <a:extLst>
                <a:ext uri="{FF2B5EF4-FFF2-40B4-BE49-F238E27FC236}">
                  <a16:creationId xmlns:a16="http://schemas.microsoft.com/office/drawing/2014/main" id="{FB588F57-E375-4B1F-9289-14D93927A174}"/>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3049251" y="752474"/>
              <a:ext cx="971550" cy="18097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76199</xdr:colOff>
      <xdr:row>0</xdr:row>
      <xdr:rowOff>38100</xdr:rowOff>
    </xdr:from>
    <xdr:to>
      <xdr:col>5</xdr:col>
      <xdr:colOff>314325</xdr:colOff>
      <xdr:row>4</xdr:row>
      <xdr:rowOff>28575</xdr:rowOff>
    </xdr:to>
    <xdr:sp macro="" textlink="">
      <xdr:nvSpPr>
        <xdr:cNvPr id="3" name="Rectangle: Rounded Corners 2">
          <a:extLst>
            <a:ext uri="{FF2B5EF4-FFF2-40B4-BE49-F238E27FC236}">
              <a16:creationId xmlns:a16="http://schemas.microsoft.com/office/drawing/2014/main" id="{018AFD85-ABFD-4534-6B2D-157B9EDEE487}"/>
            </a:ext>
          </a:extLst>
        </xdr:cNvPr>
        <xdr:cNvSpPr/>
      </xdr:nvSpPr>
      <xdr:spPr>
        <a:xfrm>
          <a:off x="76199" y="38100"/>
          <a:ext cx="3286126" cy="7524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409575</xdr:colOff>
      <xdr:row>0</xdr:row>
      <xdr:rowOff>47625</xdr:rowOff>
    </xdr:from>
    <xdr:to>
      <xdr:col>9</xdr:col>
      <xdr:colOff>114300</xdr:colOff>
      <xdr:row>4</xdr:row>
      <xdr:rowOff>0</xdr:rowOff>
    </xdr:to>
    <xdr:sp macro="" textlink="">
      <xdr:nvSpPr>
        <xdr:cNvPr id="4" name="Rectangle: Top Corners Rounded 3">
          <a:extLst>
            <a:ext uri="{FF2B5EF4-FFF2-40B4-BE49-F238E27FC236}">
              <a16:creationId xmlns:a16="http://schemas.microsoft.com/office/drawing/2014/main" id="{88890EAF-D2F1-B13C-23B5-C1D807C8B3D6}"/>
            </a:ext>
          </a:extLst>
        </xdr:cNvPr>
        <xdr:cNvSpPr/>
      </xdr:nvSpPr>
      <xdr:spPr>
        <a:xfrm>
          <a:off x="3457575" y="47625"/>
          <a:ext cx="2143125" cy="714375"/>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a:t>Total Sales</a:t>
          </a:r>
        </a:p>
      </xdr:txBody>
    </xdr:sp>
    <xdr:clientData/>
  </xdr:twoCellAnchor>
  <xdr:twoCellAnchor>
    <xdr:from>
      <xdr:col>9</xdr:col>
      <xdr:colOff>238125</xdr:colOff>
      <xdr:row>0</xdr:row>
      <xdr:rowOff>66675</xdr:rowOff>
    </xdr:from>
    <xdr:to>
      <xdr:col>12</xdr:col>
      <xdr:colOff>552450</xdr:colOff>
      <xdr:row>3</xdr:row>
      <xdr:rowOff>180975</xdr:rowOff>
    </xdr:to>
    <xdr:sp macro="" textlink="">
      <xdr:nvSpPr>
        <xdr:cNvPr id="10" name="Rectangle: Top Corners Rounded 9">
          <a:extLst>
            <a:ext uri="{FF2B5EF4-FFF2-40B4-BE49-F238E27FC236}">
              <a16:creationId xmlns:a16="http://schemas.microsoft.com/office/drawing/2014/main" id="{09BE2E11-D560-4BD2-B89E-557EE7A33F1C}"/>
            </a:ext>
          </a:extLst>
        </xdr:cNvPr>
        <xdr:cNvSpPr/>
      </xdr:nvSpPr>
      <xdr:spPr>
        <a:xfrm>
          <a:off x="5724525" y="66675"/>
          <a:ext cx="2143125" cy="6858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IN" sz="1400" b="1">
              <a:solidFill>
                <a:schemeClr val="lt1"/>
              </a:solidFill>
              <a:latin typeface="+mn-lt"/>
              <a:ea typeface="+mn-ea"/>
              <a:cs typeface="+mn-cs"/>
            </a:rPr>
            <a:t>Total Price</a:t>
          </a:r>
        </a:p>
      </xdr:txBody>
    </xdr:sp>
    <xdr:clientData/>
  </xdr:twoCellAnchor>
  <xdr:twoCellAnchor>
    <xdr:from>
      <xdr:col>13</xdr:col>
      <xdr:colOff>57150</xdr:colOff>
      <xdr:row>0</xdr:row>
      <xdr:rowOff>66675</xdr:rowOff>
    </xdr:from>
    <xdr:to>
      <xdr:col>16</xdr:col>
      <xdr:colOff>371475</xdr:colOff>
      <xdr:row>3</xdr:row>
      <xdr:rowOff>171450</xdr:rowOff>
    </xdr:to>
    <xdr:sp macro="" textlink="">
      <xdr:nvSpPr>
        <xdr:cNvPr id="11" name="Rectangle: Top Corners Rounded 10">
          <a:extLst>
            <a:ext uri="{FF2B5EF4-FFF2-40B4-BE49-F238E27FC236}">
              <a16:creationId xmlns:a16="http://schemas.microsoft.com/office/drawing/2014/main" id="{2AB837E8-09DB-42BB-9FC0-974D0D4A1CC4}"/>
            </a:ext>
          </a:extLst>
        </xdr:cNvPr>
        <xdr:cNvSpPr/>
      </xdr:nvSpPr>
      <xdr:spPr>
        <a:xfrm>
          <a:off x="7981950" y="66675"/>
          <a:ext cx="2143125" cy="676275"/>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a:solidFill>
                <a:schemeClr val="lt1"/>
              </a:solidFill>
              <a:latin typeface="+mn-lt"/>
              <a:ea typeface="+mn-ea"/>
              <a:cs typeface="+mn-cs"/>
            </a:rPr>
            <a:t>Total</a:t>
          </a:r>
          <a:r>
            <a:rPr lang="en-IN" sz="1100" baseline="0"/>
            <a:t> </a:t>
          </a:r>
          <a:r>
            <a:rPr lang="en-IN" sz="1400" b="1">
              <a:solidFill>
                <a:schemeClr val="lt1"/>
              </a:solidFill>
              <a:latin typeface="+mn-lt"/>
              <a:ea typeface="+mn-ea"/>
              <a:cs typeface="+mn-cs"/>
            </a:rPr>
            <a:t>customers</a:t>
          </a:r>
        </a:p>
      </xdr:txBody>
    </xdr:sp>
    <xdr:clientData/>
  </xdr:twoCellAnchor>
  <xdr:twoCellAnchor>
    <xdr:from>
      <xdr:col>0</xdr:col>
      <xdr:colOff>180975</xdr:colOff>
      <xdr:row>1</xdr:row>
      <xdr:rowOff>47625</xdr:rowOff>
    </xdr:from>
    <xdr:to>
      <xdr:col>5</xdr:col>
      <xdr:colOff>200025</xdr:colOff>
      <xdr:row>4</xdr:row>
      <xdr:rowOff>76200</xdr:rowOff>
    </xdr:to>
    <xdr:sp macro="" textlink="">
      <xdr:nvSpPr>
        <xdr:cNvPr id="12" name="TextBox 11">
          <a:extLst>
            <a:ext uri="{FF2B5EF4-FFF2-40B4-BE49-F238E27FC236}">
              <a16:creationId xmlns:a16="http://schemas.microsoft.com/office/drawing/2014/main" id="{46079879-E5FD-613A-05B5-694257486CF6}"/>
            </a:ext>
          </a:extLst>
        </xdr:cNvPr>
        <xdr:cNvSpPr txBox="1"/>
      </xdr:nvSpPr>
      <xdr:spPr>
        <a:xfrm>
          <a:off x="180975" y="238125"/>
          <a:ext cx="3067050"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b="1">
              <a:solidFill>
                <a:schemeClr val="bg1"/>
              </a:solidFill>
            </a:rPr>
            <a:t>Sales Dash Board</a:t>
          </a:r>
        </a:p>
      </xdr:txBody>
    </xdr:sp>
    <xdr:clientData/>
  </xdr:twoCellAnchor>
  <xdr:twoCellAnchor>
    <xdr:from>
      <xdr:col>6</xdr:col>
      <xdr:colOff>266699</xdr:colOff>
      <xdr:row>1</xdr:row>
      <xdr:rowOff>133350</xdr:rowOff>
    </xdr:from>
    <xdr:to>
      <xdr:col>8</xdr:col>
      <xdr:colOff>266700</xdr:colOff>
      <xdr:row>3</xdr:row>
      <xdr:rowOff>95250</xdr:rowOff>
    </xdr:to>
    <xdr:sp macro="" textlink="caluculation!A4">
      <xdr:nvSpPr>
        <xdr:cNvPr id="14" name="TextBox 13">
          <a:extLst>
            <a:ext uri="{FF2B5EF4-FFF2-40B4-BE49-F238E27FC236}">
              <a16:creationId xmlns:a16="http://schemas.microsoft.com/office/drawing/2014/main" id="{E47DE1E8-97CF-45AB-8161-5663D69BB93C}"/>
            </a:ext>
          </a:extLst>
        </xdr:cNvPr>
        <xdr:cNvSpPr txBox="1"/>
      </xdr:nvSpPr>
      <xdr:spPr>
        <a:xfrm>
          <a:off x="3924299" y="323850"/>
          <a:ext cx="121920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7F69354-5B97-4632-86D5-56F0E2BFC7DB}" type="TxLink">
            <a:rPr lang="en-US" sz="2000" b="0" i="0" u="none" strike="noStrike">
              <a:solidFill>
                <a:schemeClr val="bg1"/>
              </a:solidFill>
              <a:latin typeface="Arial Black" panose="020B0A04020102020204" pitchFamily="34" charset="0"/>
            </a:rPr>
            <a:pPr algn="ctr"/>
            <a:t>243845</a:t>
          </a:fld>
          <a:endParaRPr lang="en-IN" sz="2000" b="1">
            <a:solidFill>
              <a:schemeClr val="bg1"/>
            </a:solidFill>
            <a:latin typeface="Arial Black" panose="020B0A04020102020204" pitchFamily="34" charset="0"/>
          </a:endParaRPr>
        </a:p>
      </xdr:txBody>
    </xdr:sp>
    <xdr:clientData/>
  </xdr:twoCellAnchor>
  <xdr:twoCellAnchor>
    <xdr:from>
      <xdr:col>13</xdr:col>
      <xdr:colOff>552450</xdr:colOff>
      <xdr:row>1</xdr:row>
      <xdr:rowOff>123825</xdr:rowOff>
    </xdr:from>
    <xdr:to>
      <xdr:col>15</xdr:col>
      <xdr:colOff>552451</xdr:colOff>
      <xdr:row>3</xdr:row>
      <xdr:rowOff>123825</xdr:rowOff>
    </xdr:to>
    <xdr:sp macro="" textlink="caluculation!E4">
      <xdr:nvSpPr>
        <xdr:cNvPr id="15" name="TextBox 14">
          <a:extLst>
            <a:ext uri="{FF2B5EF4-FFF2-40B4-BE49-F238E27FC236}">
              <a16:creationId xmlns:a16="http://schemas.microsoft.com/office/drawing/2014/main" id="{874AE373-BA9E-4343-A69B-1326F76A1CA4}"/>
            </a:ext>
          </a:extLst>
        </xdr:cNvPr>
        <xdr:cNvSpPr txBox="1"/>
      </xdr:nvSpPr>
      <xdr:spPr>
        <a:xfrm>
          <a:off x="8477250" y="314325"/>
          <a:ext cx="1219201"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8ED8461-8C8A-4B98-9F7C-6798B39F6D85}" type="TxLink">
            <a:rPr lang="en-US" sz="2000" b="1" i="0" u="none" strike="noStrike">
              <a:solidFill>
                <a:schemeClr val="bg1"/>
              </a:solidFill>
              <a:latin typeface="Arial Black" panose="020B0A04020102020204" pitchFamily="34" charset="0"/>
            </a:rPr>
            <a:pPr algn="ctr"/>
            <a:t>10</a:t>
          </a:fld>
          <a:endParaRPr lang="en-IN" sz="2000" b="1">
            <a:solidFill>
              <a:schemeClr val="bg1"/>
            </a:solidFill>
            <a:latin typeface="Arial Black" panose="020B0A04020102020204" pitchFamily="34" charset="0"/>
          </a:endParaRPr>
        </a:p>
      </xdr:txBody>
    </xdr:sp>
    <xdr:clientData/>
  </xdr:twoCellAnchor>
  <xdr:twoCellAnchor>
    <xdr:from>
      <xdr:col>10</xdr:col>
      <xdr:colOff>171450</xdr:colOff>
      <xdr:row>1</xdr:row>
      <xdr:rowOff>114300</xdr:rowOff>
    </xdr:from>
    <xdr:to>
      <xdr:col>12</xdr:col>
      <xdr:colOff>171451</xdr:colOff>
      <xdr:row>3</xdr:row>
      <xdr:rowOff>76200</xdr:rowOff>
    </xdr:to>
    <xdr:sp macro="" textlink="caluculation!C4">
      <xdr:nvSpPr>
        <xdr:cNvPr id="16" name="TextBox 15">
          <a:extLst>
            <a:ext uri="{FF2B5EF4-FFF2-40B4-BE49-F238E27FC236}">
              <a16:creationId xmlns:a16="http://schemas.microsoft.com/office/drawing/2014/main" id="{23B3075F-FE90-4B2A-B5DE-C5850C438E3E}"/>
            </a:ext>
          </a:extLst>
        </xdr:cNvPr>
        <xdr:cNvSpPr txBox="1"/>
      </xdr:nvSpPr>
      <xdr:spPr>
        <a:xfrm>
          <a:off x="6267450" y="304800"/>
          <a:ext cx="121920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66431C9-047E-485D-820D-FE76EAC371A4}" type="TxLink">
            <a:rPr lang="en-US" sz="2000" b="0" i="0" u="none" strike="noStrike">
              <a:solidFill>
                <a:schemeClr val="bg1"/>
              </a:solidFill>
              <a:latin typeface="Arial Black" panose="020B0A04020102020204" pitchFamily="34" charset="0"/>
              <a:ea typeface="+mn-ea"/>
              <a:cs typeface="+mn-cs"/>
            </a:rPr>
            <a:pPr marL="0" indent="0" algn="ctr"/>
            <a:t>85895</a:t>
          </a:fld>
          <a:endParaRPr lang="en-IN" sz="2000" b="0" i="0" u="none" strike="noStrike">
            <a:solidFill>
              <a:schemeClr val="bg1"/>
            </a:solidFill>
            <a:latin typeface="Arial Black" panose="020B0A04020102020204" pitchFamily="34" charset="0"/>
            <a:ea typeface="+mn-ea"/>
            <a:cs typeface="+mn-cs"/>
          </a:endParaRPr>
        </a:p>
      </xdr:txBody>
    </xdr:sp>
    <xdr:clientData/>
  </xdr:twoCellAnchor>
  <xdr:twoCellAnchor>
    <xdr:from>
      <xdr:col>0</xdr:col>
      <xdr:colOff>123824</xdr:colOff>
      <xdr:row>4</xdr:row>
      <xdr:rowOff>57150</xdr:rowOff>
    </xdr:from>
    <xdr:to>
      <xdr:col>7</xdr:col>
      <xdr:colOff>112058</xdr:colOff>
      <xdr:row>13</xdr:row>
      <xdr:rowOff>133349</xdr:rowOff>
    </xdr:to>
    <xdr:graphicFrame macro="">
      <xdr:nvGraphicFramePr>
        <xdr:cNvPr id="17" name="Chart 16">
          <a:extLst>
            <a:ext uri="{FF2B5EF4-FFF2-40B4-BE49-F238E27FC236}">
              <a16:creationId xmlns:a16="http://schemas.microsoft.com/office/drawing/2014/main" id="{5DDEF771-15FF-4BAF-801D-E35D4DE9AC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123826</xdr:colOff>
      <xdr:row>13</xdr:row>
      <xdr:rowOff>161926</xdr:rowOff>
    </xdr:from>
    <xdr:to>
      <xdr:col>7</xdr:col>
      <xdr:colOff>112058</xdr:colOff>
      <xdr:row>25</xdr:row>
      <xdr:rowOff>28576</xdr:rowOff>
    </xdr:to>
    <xdr:graphicFrame macro="">
      <xdr:nvGraphicFramePr>
        <xdr:cNvPr id="18" name="Chart 17">
          <a:extLst>
            <a:ext uri="{FF2B5EF4-FFF2-40B4-BE49-F238E27FC236}">
              <a16:creationId xmlns:a16="http://schemas.microsoft.com/office/drawing/2014/main" id="{3B4D84AA-048E-4E73-A276-03CDBCE6DD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134470</xdr:colOff>
      <xdr:row>4</xdr:row>
      <xdr:rowOff>47626</xdr:rowOff>
    </xdr:from>
    <xdr:to>
      <xdr:col>16</xdr:col>
      <xdr:colOff>448236</xdr:colOff>
      <xdr:row>13</xdr:row>
      <xdr:rowOff>133350</xdr:rowOff>
    </xdr:to>
    <xdr:graphicFrame macro="">
      <xdr:nvGraphicFramePr>
        <xdr:cNvPr id="19" name="Chart 18">
          <a:extLst>
            <a:ext uri="{FF2B5EF4-FFF2-40B4-BE49-F238E27FC236}">
              <a16:creationId xmlns:a16="http://schemas.microsoft.com/office/drawing/2014/main" id="{4C7DB628-1F9A-428B-B9B6-1EF25EA0E3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112058</xdr:colOff>
      <xdr:row>13</xdr:row>
      <xdr:rowOff>152400</xdr:rowOff>
    </xdr:from>
    <xdr:to>
      <xdr:col>11</xdr:col>
      <xdr:colOff>593912</xdr:colOff>
      <xdr:row>25</xdr:row>
      <xdr:rowOff>57150</xdr:rowOff>
    </xdr:to>
    <xdr:graphicFrame macro="">
      <xdr:nvGraphicFramePr>
        <xdr:cNvPr id="20" name="Chart 19">
          <a:extLst>
            <a:ext uri="{FF2B5EF4-FFF2-40B4-BE49-F238E27FC236}">
              <a16:creationId xmlns:a16="http://schemas.microsoft.com/office/drawing/2014/main" id="{C9B0C552-5803-45FB-8900-99EEB678B8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67235</xdr:colOff>
      <xdr:row>13</xdr:row>
      <xdr:rowOff>152400</xdr:rowOff>
    </xdr:from>
    <xdr:to>
      <xdr:col>16</xdr:col>
      <xdr:colOff>437029</xdr:colOff>
      <xdr:row>25</xdr:row>
      <xdr:rowOff>76200</xdr:rowOff>
    </xdr:to>
    <xdr:graphicFrame macro="">
      <xdr:nvGraphicFramePr>
        <xdr:cNvPr id="21" name="Chart 20">
          <a:extLst>
            <a:ext uri="{FF2B5EF4-FFF2-40B4-BE49-F238E27FC236}">
              <a16:creationId xmlns:a16="http://schemas.microsoft.com/office/drawing/2014/main" id="{52FD38A5-F345-4DB0-B2D1-14D2180B27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447675</xdr:colOff>
      <xdr:row>0</xdr:row>
      <xdr:rowOff>66675</xdr:rowOff>
    </xdr:from>
    <xdr:to>
      <xdr:col>20</xdr:col>
      <xdr:colOff>152400</xdr:colOff>
      <xdr:row>3</xdr:row>
      <xdr:rowOff>171450</xdr:rowOff>
    </xdr:to>
    <xdr:sp macro="" textlink="">
      <xdr:nvSpPr>
        <xdr:cNvPr id="22" name="Rectangle: Top Corners Rounded 21">
          <a:extLst>
            <a:ext uri="{FF2B5EF4-FFF2-40B4-BE49-F238E27FC236}">
              <a16:creationId xmlns:a16="http://schemas.microsoft.com/office/drawing/2014/main" id="{C12D7E21-0345-48C4-9B78-F2BCE876E2D4}"/>
            </a:ext>
          </a:extLst>
        </xdr:cNvPr>
        <xdr:cNvSpPr/>
      </xdr:nvSpPr>
      <xdr:spPr>
        <a:xfrm>
          <a:off x="10201275" y="66675"/>
          <a:ext cx="2143125" cy="676275"/>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a:solidFill>
                <a:schemeClr val="lt1"/>
              </a:solidFill>
              <a:latin typeface="+mn-lt"/>
              <a:ea typeface="+mn-ea"/>
              <a:cs typeface="+mn-cs"/>
            </a:rPr>
            <a:t>Total</a:t>
          </a:r>
          <a:r>
            <a:rPr lang="en-IN" sz="1100" baseline="0"/>
            <a:t> </a:t>
          </a:r>
          <a:r>
            <a:rPr lang="en-IN" sz="1400" b="1">
              <a:solidFill>
                <a:schemeClr val="lt1"/>
              </a:solidFill>
              <a:latin typeface="+mn-lt"/>
              <a:ea typeface="+mn-ea"/>
              <a:cs typeface="+mn-cs"/>
            </a:rPr>
            <a:t>Quantity</a:t>
          </a:r>
        </a:p>
      </xdr:txBody>
    </xdr:sp>
    <xdr:clientData/>
  </xdr:twoCellAnchor>
  <xdr:twoCellAnchor>
    <xdr:from>
      <xdr:col>17</xdr:col>
      <xdr:colOff>361950</xdr:colOff>
      <xdr:row>1</xdr:row>
      <xdr:rowOff>152400</xdr:rowOff>
    </xdr:from>
    <xdr:to>
      <xdr:col>19</xdr:col>
      <xdr:colOff>361951</xdr:colOff>
      <xdr:row>3</xdr:row>
      <xdr:rowOff>152400</xdr:rowOff>
    </xdr:to>
    <xdr:sp macro="" textlink="caluculation!G4">
      <xdr:nvSpPr>
        <xdr:cNvPr id="23" name="TextBox 22">
          <a:extLst>
            <a:ext uri="{FF2B5EF4-FFF2-40B4-BE49-F238E27FC236}">
              <a16:creationId xmlns:a16="http://schemas.microsoft.com/office/drawing/2014/main" id="{C25BB3AC-8D17-4A59-87FA-C99BCA7D736C}"/>
            </a:ext>
          </a:extLst>
        </xdr:cNvPr>
        <xdr:cNvSpPr txBox="1"/>
      </xdr:nvSpPr>
      <xdr:spPr>
        <a:xfrm>
          <a:off x="10725150" y="342900"/>
          <a:ext cx="1219201"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43392FE-58C0-48C8-9765-7F1719DED113}" type="TxLink">
            <a:rPr lang="en-US" sz="2000" b="1" i="0" u="none" strike="noStrike">
              <a:solidFill>
                <a:schemeClr val="bg1"/>
              </a:solidFill>
              <a:latin typeface="Arial Black" panose="020B0A04020102020204" pitchFamily="34" charset="0"/>
              <a:ea typeface="+mn-ea"/>
              <a:cs typeface="+mn-cs"/>
            </a:rPr>
            <a:pPr marL="0" indent="0" algn="ctr"/>
            <a:t>714</a:t>
          </a:fld>
          <a:endParaRPr lang="en-IN" sz="2000" b="1" i="0" u="none" strike="noStrike">
            <a:solidFill>
              <a:schemeClr val="bg1"/>
            </a:solidFill>
            <a:latin typeface="Arial Black" panose="020B0A04020102020204" pitchFamily="34" charset="0"/>
            <a:ea typeface="+mn-ea"/>
            <a:cs typeface="+mn-cs"/>
          </a:endParaRPr>
        </a:p>
      </xdr:txBody>
    </xdr:sp>
    <xdr:clientData/>
  </xdr:twoCellAnchor>
  <xdr:twoCellAnchor>
    <xdr:from>
      <xdr:col>16</xdr:col>
      <xdr:colOff>459442</xdr:colOff>
      <xdr:row>13</xdr:row>
      <xdr:rowOff>156881</xdr:rowOff>
    </xdr:from>
    <xdr:to>
      <xdr:col>24</xdr:col>
      <xdr:colOff>268942</xdr:colOff>
      <xdr:row>25</xdr:row>
      <xdr:rowOff>87406</xdr:rowOff>
    </xdr:to>
    <xdr:graphicFrame macro="">
      <xdr:nvGraphicFramePr>
        <xdr:cNvPr id="24" name="Chart 23">
          <a:extLst>
            <a:ext uri="{FF2B5EF4-FFF2-40B4-BE49-F238E27FC236}">
              <a16:creationId xmlns:a16="http://schemas.microsoft.com/office/drawing/2014/main" id="{1D662D93-D524-40F0-92E0-967FDA6D1F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481852</xdr:colOff>
      <xdr:row>4</xdr:row>
      <xdr:rowOff>33616</xdr:rowOff>
    </xdr:from>
    <xdr:to>
      <xdr:col>22</xdr:col>
      <xdr:colOff>470647</xdr:colOff>
      <xdr:row>13</xdr:row>
      <xdr:rowOff>112057</xdr:rowOff>
    </xdr:to>
    <xdr:graphicFrame macro="">
      <xdr:nvGraphicFramePr>
        <xdr:cNvPr id="25" name="Chart 24">
          <a:extLst>
            <a:ext uri="{FF2B5EF4-FFF2-40B4-BE49-F238E27FC236}">
              <a16:creationId xmlns:a16="http://schemas.microsoft.com/office/drawing/2014/main" id="{F7C77FA6-7DA5-48D5-8517-A54742033D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20</xdr:col>
      <xdr:colOff>179295</xdr:colOff>
      <xdr:row>0</xdr:row>
      <xdr:rowOff>67236</xdr:rowOff>
    </xdr:from>
    <xdr:to>
      <xdr:col>24</xdr:col>
      <xdr:colOff>280148</xdr:colOff>
      <xdr:row>3</xdr:row>
      <xdr:rowOff>168088</xdr:rowOff>
    </xdr:to>
    <mc:AlternateContent xmlns:mc="http://schemas.openxmlformats.org/markup-compatibility/2006" xmlns:a14="http://schemas.microsoft.com/office/drawing/2010/main">
      <mc:Choice Requires="a14">
        <xdr:graphicFrame macro="">
          <xdr:nvGraphicFramePr>
            <xdr:cNvPr id="26" name="Month">
              <a:extLst>
                <a:ext uri="{FF2B5EF4-FFF2-40B4-BE49-F238E27FC236}">
                  <a16:creationId xmlns:a16="http://schemas.microsoft.com/office/drawing/2014/main" id="{C5A8C69E-7B75-4AA3-BC9E-13B45358456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2281648" y="67236"/>
              <a:ext cx="2521324" cy="67235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493059</xdr:colOff>
      <xdr:row>3</xdr:row>
      <xdr:rowOff>179294</xdr:rowOff>
    </xdr:from>
    <xdr:to>
      <xdr:col>24</xdr:col>
      <xdr:colOff>254373</xdr:colOff>
      <xdr:row>13</xdr:row>
      <xdr:rowOff>134471</xdr:rowOff>
    </xdr:to>
    <mc:AlternateContent xmlns:mc="http://schemas.openxmlformats.org/markup-compatibility/2006" xmlns:a14="http://schemas.microsoft.com/office/drawing/2010/main">
      <mc:Choice Requires="a14">
        <xdr:graphicFrame macro="">
          <xdr:nvGraphicFramePr>
            <xdr:cNvPr id="27" name="Category">
              <a:extLst>
                <a:ext uri="{FF2B5EF4-FFF2-40B4-BE49-F238E27FC236}">
                  <a16:creationId xmlns:a16="http://schemas.microsoft.com/office/drawing/2014/main" id="{6C6AF624-8C7A-40DD-B5AB-16FCFA5C7068}"/>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3805647" y="750794"/>
              <a:ext cx="971550" cy="186017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lasam praveen" refreshedDate="45813.857880324074" backgroundQuery="1" createdVersion="8" refreshedVersion="8" minRefreshableVersion="3" recordCount="0" supportSubquery="1" supportAdvancedDrill="1" xr:uid="{2FA2249E-2DE5-4983-8FA1-B9787E2CADB4}">
  <cacheSource type="external" connectionId="1"/>
  <cacheFields count="2">
    <cacheField name="[Measures].[Sum of Total Sales 2]" caption="Sum of Total Sales 2" numFmtId="0" hierarchy="35" level="32767"/>
    <cacheField name="[Range 1].[week from date].[week from date]" caption="week from date" numFmtId="0" hierarchy="25" level="1">
      <sharedItems count="10">
        <s v="Apr-2025-week1"/>
        <s v="Feb-2025-week1"/>
        <s v="Feb-2025-week2"/>
        <s v="Feb-2025-week3"/>
        <s v="Feb-2025-week4"/>
        <s v="Mar-2025-week1"/>
        <s v="Mar-2025-week2"/>
        <s v="Mar-2025-week3"/>
        <s v="Mar-2025-week4"/>
        <s v="Mar-2025-week5"/>
      </sharedItems>
    </cacheField>
  </cacheFields>
  <cacheHierarchies count="36">
    <cacheHierarchy uniqueName="[Range].[Order ID]" caption="Order ID" attribute="1" defaultMemberUniqueName="[Range].[Order ID].[All]" allUniqueName="[Range].[Order ID].[All]" dimensionUniqueName="[Range]" displayFolder="" count="0" memberValueDatatype="130" unbalanced="0"/>
    <cacheHierarchy uniqueName="[Range].[Date]" caption="Date" attribute="1" time="1" defaultMemberUniqueName="[Range].[Date].[All]" allUniqueName="[Range].[Date].[All]" dimensionUniqueName="[Range]" displayFolder="" count="0" memberValueDatatype="7"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0" memberValueDatatype="130" unbalanced="0"/>
    <cacheHierarchy uniqueName="[Range].[Price]" caption="Price" attribute="1" defaultMemberUniqueName="[Range].[Price].[All]" allUniqueName="[Range].[Price].[All]" dimensionUniqueName="[Range]" displayFolder="" count="0" memberValueDatatype="20" unbalanced="0"/>
    <cacheHierarchy uniqueName="[Range].[Quantity]" caption="Quantity" attribute="1" defaultMemberUniqueName="[Range].[Quantity].[All]" allUniqueName="[Range].[Quantity].[All]" dimensionUniqueName="[Range]" displayFolder="" count="0" memberValueDatatype="20" unbalanced="0"/>
    <cacheHierarchy uniqueName="[Range].[Total Sales]" caption="Total Sales" attribute="1" defaultMemberUniqueName="[Range].[Total Sales].[All]" allUniqueName="[Range].[Total Sales].[All]" dimensionUniqueName="[Range]" displayFolder="" count="0" memberValueDatatype="20" unbalanced="0"/>
    <cacheHierarchy uniqueName="[Range].[Customer Name]" caption="Customer Name" attribute="1" defaultMemberUniqueName="[Range].[Customer Name].[All]" allUniqueName="[Range].[Customer Name].[All]" dimensionUniqueName="[Range]" displayFolder="" count="0" memberValueDatatype="130" unbalanced="0"/>
    <cacheHierarchy uniqueName="[Range].[Customer Location]" caption="Customer Location" attribute="1" defaultMemberUniqueName="[Range].[Customer Location].[All]" allUniqueName="[Range].[Customer Location].[All]" dimensionUniqueName="[Range]" displayFolder="" count="0" memberValueDatatype="130" unbalanced="0"/>
    <cacheHierarchy uniqueName="[Range].[Payment Method]" caption="Payment Method" attribute="1" defaultMemberUniqueName="[Range].[Payment Method].[All]" allUniqueName="[Range].[Payment Method].[All]" dimensionUniqueName="[Range]" displayFolder="" count="0" memberValueDatatype="130" unbalanced="0"/>
    <cacheHierarchy uniqueName="[Range].[Status]" caption="Status" attribute="1" defaultMemberUniqueName="[Range].[Status].[All]" allUniqueName="[Range].[Status].[All]" dimensionUniqueName="[Range]" displayFolder="" count="0" memberValueDatatype="130" unbalanced="0"/>
    <cacheHierarchy uniqueName="[Range].[Month]" caption="Month" attribute="1" defaultMemberUniqueName="[Range].[Month].[All]" allUniqueName="[Range].[Month].[All]" dimensionUniqueName="[Range]" displayFolder="" count="0" memberValueDatatype="130" unbalanced="0"/>
    <cacheHierarchy uniqueName="[Range].[Date (Month)]" caption="Date (Month)" attribute="1" defaultMemberUniqueName="[Range].[Date (Month)].[All]" allUniqueName="[Range].[Date (Month)].[All]" dimensionUniqueName="[Range]" displayFolder="" count="0" memberValueDatatype="130" unbalanced="0"/>
    <cacheHierarchy uniqueName="[Range 1].[Order ID]" caption="Order ID" attribute="1" defaultMemberUniqueName="[Range 1].[Order ID].[All]" allUniqueName="[Range 1].[Order ID].[All]" dimensionUniqueName="[Range 1]" displayFolder="" count="0" memberValueDatatype="130" unbalanced="0"/>
    <cacheHierarchy uniqueName="[Range 1].[Date]" caption="Date" attribute="1" time="1" defaultMemberUniqueName="[Range 1].[Date].[All]" allUniqueName="[Range 1].[Date].[All]" dimensionUniqueName="[Range 1]" displayFolder="" count="0" memberValueDatatype="7" unbalanced="0"/>
    <cacheHierarchy uniqueName="[Range 1].[Product]" caption="Product" attribute="1" defaultMemberUniqueName="[Range 1].[Product].[All]" allUniqueName="[Range 1].[Product].[All]" dimensionUniqueName="[Range 1]" displayFolder="" count="0" memberValueDatatype="130" unbalanced="0"/>
    <cacheHierarchy uniqueName="[Range 1].[Category]" caption="Category" attribute="1" defaultMemberUniqueName="[Range 1].[Category].[All]" allUniqueName="[Range 1].[Category].[All]" dimensionUniqueName="[Range 1]" displayFolder="" count="0" memberValueDatatype="130" unbalanced="0"/>
    <cacheHierarchy uniqueName="[Range 1].[Price]" caption="Price" attribute="1" defaultMemberUniqueName="[Range 1].[Price].[All]" allUniqueName="[Range 1].[Price].[All]" dimensionUniqueName="[Range 1]" displayFolder="" count="0" memberValueDatatype="20" unbalanced="0"/>
    <cacheHierarchy uniqueName="[Range 1].[Quantity]" caption="Quantity" attribute="1" defaultMemberUniqueName="[Range 1].[Quantity].[All]" allUniqueName="[Range 1].[Quantity].[All]" dimensionUniqueName="[Range 1]" displayFolder="" count="0" memberValueDatatype="20" unbalanced="0"/>
    <cacheHierarchy uniqueName="[Range 1].[Total Sales]" caption="Total Sales" attribute="1" defaultMemberUniqueName="[Range 1].[Total Sales].[All]" allUniqueName="[Range 1].[Total Sales].[All]" dimensionUniqueName="[Range 1]" displayFolder="" count="0" memberValueDatatype="20" unbalanced="0"/>
    <cacheHierarchy uniqueName="[Range 1].[Customer Name]" caption="Customer Name" attribute="1" defaultMemberUniqueName="[Range 1].[Customer Name].[All]" allUniqueName="[Range 1].[Customer Name].[All]" dimensionUniqueName="[Range 1]" displayFolder="" count="0" memberValueDatatype="130" unbalanced="0"/>
    <cacheHierarchy uniqueName="[Range 1].[Customer Location]" caption="Customer Location" attribute="1" defaultMemberUniqueName="[Range 1].[Customer Location].[All]" allUniqueName="[Range 1].[Customer Location].[All]" dimensionUniqueName="[Range 1]" displayFolder="" count="0" memberValueDatatype="130" unbalanced="0"/>
    <cacheHierarchy uniqueName="[Range 1].[Payment Method]" caption="Payment Method" attribute="1" defaultMemberUniqueName="[Range 1].[Payment Method].[All]" allUniqueName="[Range 1].[Payment Method].[All]" dimensionUniqueName="[Range 1]" displayFolder="" count="0" memberValueDatatype="130" unbalanced="0"/>
    <cacheHierarchy uniqueName="[Range 1].[Status]" caption="Status" attribute="1" defaultMemberUniqueName="[Range 1].[Status].[All]" allUniqueName="[Range 1].[Status].[All]" dimensionUniqueName="[Range 1]" displayFolder="" count="0" memberValueDatatype="130" unbalanced="0"/>
    <cacheHierarchy uniqueName="[Range 1].[Month]" caption="Month" attribute="1" defaultMemberUniqueName="[Range 1].[Month].[All]" allUniqueName="[Range 1].[Month].[All]" dimensionUniqueName="[Range 1]" displayFolder="" count="0" memberValueDatatype="130" unbalanced="0"/>
    <cacheHierarchy uniqueName="[Range 1].[week from date]" caption="week from date" attribute="1" defaultMemberUniqueName="[Range 1].[week from date].[All]" allUniqueName="[Range 1].[week from date].[All]" dimensionUniqueName="[Range 1]" displayFolder="" count="2" memberValueDatatype="130" unbalanced="0">
      <fieldsUsage count="2">
        <fieldUsage x="-1"/>
        <fieldUsage x="1"/>
      </fieldsUsage>
    </cacheHierarchy>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Total Sales]" caption="Sum of Total Sales" measure="1" displayFolder="" measureGroup="Range"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Range"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Range"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Range" count="0" hidden="1">
      <extLst>
        <ext xmlns:x15="http://schemas.microsoft.com/office/spreadsheetml/2010/11/main" uri="{B97F6D7D-B522-45F9-BDA1-12C45D357490}">
          <x15:cacheHierarchy aggregatedColumn="7"/>
        </ext>
      </extLst>
    </cacheHierarchy>
    <cacheHierarchy uniqueName="[Measures].[Sum of Quantity]" caption="Sum of Quantity" measure="1" displayFolder="" measureGroup="Range" count="0" hidden="1">
      <extLst>
        <ext xmlns:x15="http://schemas.microsoft.com/office/spreadsheetml/2010/11/main" uri="{B97F6D7D-B522-45F9-BDA1-12C45D357490}">
          <x15:cacheHierarchy aggregatedColumn="5"/>
        </ext>
      </extLst>
    </cacheHierarchy>
    <cacheHierarchy uniqueName="[Measures].[Sum of Total Sales 2]" caption="Sum of Total Sales 2" measure="1" displayFolder="" measureGroup="Range 1" count="0" oneField="1" hidden="1">
      <fieldsUsage count="1">
        <fieldUsage x="0"/>
      </fieldsUsage>
      <extLst>
        <ext xmlns:x15="http://schemas.microsoft.com/office/spreadsheetml/2010/11/main" uri="{B97F6D7D-B522-45F9-BDA1-12C45D357490}">
          <x15:cacheHierarchy aggregatedColumn="19"/>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lasam praveen" refreshedDate="45813.890843402776" backgroundQuery="1" createdVersion="8" refreshedVersion="8" minRefreshableVersion="3" recordCount="0" supportSubquery="1" supportAdvancedDrill="1" xr:uid="{7DCA8C88-9D1F-414C-820C-7DB0EF54E74E}">
  <cacheSource type="external" connectionId="1"/>
  <cacheFields count="2">
    <cacheField name="[Measures].[Sum of Total Sales]" caption="Sum of Total Sales" numFmtId="0" hierarchy="30" level="32767"/>
    <cacheField name="[Range].[Month].[Month]" caption="Month" numFmtId="0" hierarchy="11" level="1">
      <sharedItems containsSemiMixedTypes="0" containsNonDate="0" containsString="0"/>
    </cacheField>
  </cacheFields>
  <cacheHierarchies count="36">
    <cacheHierarchy uniqueName="[Range].[Order ID]" caption="Order ID" attribute="1" defaultMemberUniqueName="[Range].[Order ID].[All]" allUniqueName="[Range].[Order ID].[All]" dimensionUniqueName="[Range]" displayFolder="" count="0" memberValueDatatype="130" unbalanced="0"/>
    <cacheHierarchy uniqueName="[Range].[Date]" caption="Date" attribute="1" time="1" defaultMemberUniqueName="[Range].[Date].[All]" allUniqueName="[Range].[Date].[All]" dimensionUniqueName="[Range]" displayFolder="" count="0" memberValueDatatype="7"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cacheHierarchy uniqueName="[Range].[Price]" caption="Price" attribute="1" defaultMemberUniqueName="[Range].[Price].[All]" allUniqueName="[Range].[Price].[All]" dimensionUniqueName="[Range]" displayFolder="" count="0" memberValueDatatype="20" unbalanced="0"/>
    <cacheHierarchy uniqueName="[Range].[Quantity]" caption="Quantity" attribute="1" defaultMemberUniqueName="[Range].[Quantity].[All]" allUniqueName="[Range].[Quantity].[All]" dimensionUniqueName="[Range]" displayFolder="" count="0" memberValueDatatype="20" unbalanced="0"/>
    <cacheHierarchy uniqueName="[Range].[Total Sales]" caption="Total Sales" attribute="1" defaultMemberUniqueName="[Range].[Total Sales].[All]" allUniqueName="[Range].[Total Sales].[All]" dimensionUniqueName="[Range]" displayFolder="" count="0" memberValueDatatype="20" unbalanced="0"/>
    <cacheHierarchy uniqueName="[Range].[Customer Name]" caption="Customer Name" attribute="1" defaultMemberUniqueName="[Range].[Customer Name].[All]" allUniqueName="[Range].[Customer Name].[All]" dimensionUniqueName="[Range]" displayFolder="" count="0" memberValueDatatype="130" unbalanced="0"/>
    <cacheHierarchy uniqueName="[Range].[Customer Location]" caption="Customer Location" attribute="1" defaultMemberUniqueName="[Range].[Customer Location].[All]" allUniqueName="[Range].[Customer Location].[All]" dimensionUniqueName="[Range]" displayFolder="" count="0" memberValueDatatype="130" unbalanced="0"/>
    <cacheHierarchy uniqueName="[Range].[Payment Method]" caption="Payment Method" attribute="1" defaultMemberUniqueName="[Range].[Payment Method].[All]" allUniqueName="[Range].[Payment Method].[All]" dimensionUniqueName="[Range]" displayFolder="" count="0" memberValueDatatype="130" unbalanced="0"/>
    <cacheHierarchy uniqueName="[Range].[Status]" caption="Status" attribute="1" defaultMemberUniqueName="[Range].[Status].[All]" allUniqueName="[Range].[Status].[All]" dimensionUniqueName="[Range]" displayFolder="" count="0" memberValueDatatype="130" unbalanced="0"/>
    <cacheHierarchy uniqueName="[Range].[Month]" caption="Month" attribute="1" defaultMemberUniqueName="[Range].[Month].[All]" allUniqueName="[Range].[Month].[All]" dimensionUniqueName="[Range]" displayFolder="" count="2" memberValueDatatype="130" unbalanced="0">
      <fieldsUsage count="2">
        <fieldUsage x="-1"/>
        <fieldUsage x="1"/>
      </fieldsUsage>
    </cacheHierarchy>
    <cacheHierarchy uniqueName="[Range].[Date (Month)]" caption="Date (Month)" attribute="1" defaultMemberUniqueName="[Range].[Date (Month)].[All]" allUniqueName="[Range].[Date (Month)].[All]" dimensionUniqueName="[Range]" displayFolder="" count="0" memberValueDatatype="130" unbalanced="0"/>
    <cacheHierarchy uniqueName="[Range 1].[Order ID]" caption="Order ID" attribute="1" defaultMemberUniqueName="[Range 1].[Order ID].[All]" allUniqueName="[Range 1].[Order ID].[All]" dimensionUniqueName="[Range 1]" displayFolder="" count="0" memberValueDatatype="130" unbalanced="0"/>
    <cacheHierarchy uniqueName="[Range 1].[Date]" caption="Date" attribute="1" time="1" defaultMemberUniqueName="[Range 1].[Date].[All]" allUniqueName="[Range 1].[Date].[All]" dimensionUniqueName="[Range 1]" displayFolder="" count="0" memberValueDatatype="7" unbalanced="0"/>
    <cacheHierarchy uniqueName="[Range 1].[Product]" caption="Product" attribute="1" defaultMemberUniqueName="[Range 1].[Product].[All]" allUniqueName="[Range 1].[Product].[All]" dimensionUniqueName="[Range 1]" displayFolder="" count="0" memberValueDatatype="130" unbalanced="0"/>
    <cacheHierarchy uniqueName="[Range 1].[Category]" caption="Category" attribute="1" defaultMemberUniqueName="[Range 1].[Category].[All]" allUniqueName="[Range 1].[Category].[All]" dimensionUniqueName="[Range 1]" displayFolder="" count="0" memberValueDatatype="130" unbalanced="0"/>
    <cacheHierarchy uniqueName="[Range 1].[Price]" caption="Price" attribute="1" defaultMemberUniqueName="[Range 1].[Price].[All]" allUniqueName="[Range 1].[Price].[All]" dimensionUniqueName="[Range 1]" displayFolder="" count="0" memberValueDatatype="20" unbalanced="0"/>
    <cacheHierarchy uniqueName="[Range 1].[Quantity]" caption="Quantity" attribute="1" defaultMemberUniqueName="[Range 1].[Quantity].[All]" allUniqueName="[Range 1].[Quantity].[All]" dimensionUniqueName="[Range 1]" displayFolder="" count="0" memberValueDatatype="20" unbalanced="0"/>
    <cacheHierarchy uniqueName="[Range 1].[Total Sales]" caption="Total Sales" attribute="1" defaultMemberUniqueName="[Range 1].[Total Sales].[All]" allUniqueName="[Range 1].[Total Sales].[All]" dimensionUniqueName="[Range 1]" displayFolder="" count="0" memberValueDatatype="20" unbalanced="0"/>
    <cacheHierarchy uniqueName="[Range 1].[Customer Name]" caption="Customer Name" attribute="1" defaultMemberUniqueName="[Range 1].[Customer Name].[All]" allUniqueName="[Range 1].[Customer Name].[All]" dimensionUniqueName="[Range 1]" displayFolder="" count="0" memberValueDatatype="130" unbalanced="0"/>
    <cacheHierarchy uniqueName="[Range 1].[Customer Location]" caption="Customer Location" attribute="1" defaultMemberUniqueName="[Range 1].[Customer Location].[All]" allUniqueName="[Range 1].[Customer Location].[All]" dimensionUniqueName="[Range 1]" displayFolder="" count="0" memberValueDatatype="130" unbalanced="0"/>
    <cacheHierarchy uniqueName="[Range 1].[Payment Method]" caption="Payment Method" attribute="1" defaultMemberUniqueName="[Range 1].[Payment Method].[All]" allUniqueName="[Range 1].[Payment Method].[All]" dimensionUniqueName="[Range 1]" displayFolder="" count="0" memberValueDatatype="130" unbalanced="0"/>
    <cacheHierarchy uniqueName="[Range 1].[Status]" caption="Status" attribute="1" defaultMemberUniqueName="[Range 1].[Status].[All]" allUniqueName="[Range 1].[Status].[All]" dimensionUniqueName="[Range 1]" displayFolder="" count="0" memberValueDatatype="130" unbalanced="0"/>
    <cacheHierarchy uniqueName="[Range 1].[Month]" caption="Month" attribute="1" defaultMemberUniqueName="[Range 1].[Month].[All]" allUniqueName="[Range 1].[Month].[All]" dimensionUniqueName="[Range 1]" displayFolder="" count="0" memberValueDatatype="130" unbalanced="0"/>
    <cacheHierarchy uniqueName="[Range 1].[week from date]" caption="week from date" attribute="1" defaultMemberUniqueName="[Range 1].[week from date].[All]" allUniqueName="[Range 1].[week from date].[All]" dimensionUniqueName="[Range 1]"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Total Sales]" caption="Sum of Total Sales" measure="1" displayFolder="" measureGroup="Range" count="0" oneField="1" hidden="1">
      <fieldsUsage count="1">
        <fieldUsage x="0"/>
      </fieldsUsage>
      <extLst>
        <ext xmlns:x15="http://schemas.microsoft.com/office/spreadsheetml/2010/11/main" uri="{B97F6D7D-B522-45F9-BDA1-12C45D357490}">
          <x15:cacheHierarchy aggregatedColumn="6"/>
        </ext>
      </extLst>
    </cacheHierarchy>
    <cacheHierarchy uniqueName="[Measures].[Sum of Price]" caption="Sum of Price" measure="1" displayFolder="" measureGroup="Range"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Range"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Range" count="0" hidden="1">
      <extLst>
        <ext xmlns:x15="http://schemas.microsoft.com/office/spreadsheetml/2010/11/main" uri="{B97F6D7D-B522-45F9-BDA1-12C45D357490}">
          <x15:cacheHierarchy aggregatedColumn="7"/>
        </ext>
      </extLst>
    </cacheHierarchy>
    <cacheHierarchy uniqueName="[Measures].[Sum of Quantity]" caption="Sum of Quantity" measure="1" displayFolder="" measureGroup="Range" count="0" hidden="1">
      <extLst>
        <ext xmlns:x15="http://schemas.microsoft.com/office/spreadsheetml/2010/11/main" uri="{B97F6D7D-B522-45F9-BDA1-12C45D357490}">
          <x15:cacheHierarchy aggregatedColumn="5"/>
        </ext>
      </extLst>
    </cacheHierarchy>
    <cacheHierarchy uniqueName="[Measures].[Sum of Total Sales 2]" caption="Sum of Total Sales 2" measure="1" displayFolder="" measureGroup="Range 1" count="0" hidden="1">
      <extLst>
        <ext xmlns:x15="http://schemas.microsoft.com/office/spreadsheetml/2010/11/main" uri="{B97F6D7D-B522-45F9-BDA1-12C45D357490}">
          <x15:cacheHierarchy aggregatedColumn="19"/>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lasam praveen" refreshedDate="45813.890843518515" backgroundQuery="1" createdVersion="8" refreshedVersion="8" minRefreshableVersion="3" recordCount="0" supportSubquery="1" supportAdvancedDrill="1" xr:uid="{2754BA33-1468-4166-8137-203111F47AB8}">
  <cacheSource type="external" connectionId="1"/>
  <cacheFields count="2">
    <cacheField name="[Measures].[Sum of Quantity]" caption="Sum of Quantity" numFmtId="0" hierarchy="34" level="32767"/>
    <cacheField name="[Range].[Month].[Month]" caption="Month" numFmtId="0" hierarchy="11" level="1">
      <sharedItems containsSemiMixedTypes="0" containsNonDate="0" containsString="0"/>
    </cacheField>
  </cacheFields>
  <cacheHierarchies count="36">
    <cacheHierarchy uniqueName="[Range].[Order ID]" caption="Order ID" attribute="1" defaultMemberUniqueName="[Range].[Order ID].[All]" allUniqueName="[Range].[Order ID].[All]" dimensionUniqueName="[Range]" displayFolder="" count="0" memberValueDatatype="130" unbalanced="0"/>
    <cacheHierarchy uniqueName="[Range].[Date]" caption="Date" attribute="1" time="1" defaultMemberUniqueName="[Range].[Date].[All]" allUniqueName="[Range].[Date].[All]" dimensionUniqueName="[Range]" displayFolder="" count="0" memberValueDatatype="7"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cacheHierarchy uniqueName="[Range].[Price]" caption="Price" attribute="1" defaultMemberUniqueName="[Range].[Price].[All]" allUniqueName="[Range].[Price].[All]" dimensionUniqueName="[Range]" displayFolder="" count="0" memberValueDatatype="20" unbalanced="0"/>
    <cacheHierarchy uniqueName="[Range].[Quantity]" caption="Quantity" attribute="1" defaultMemberUniqueName="[Range].[Quantity].[All]" allUniqueName="[Range].[Quantity].[All]" dimensionUniqueName="[Range]" displayFolder="" count="0" memberValueDatatype="20" unbalanced="0"/>
    <cacheHierarchy uniqueName="[Range].[Total Sales]" caption="Total Sales" attribute="1" defaultMemberUniqueName="[Range].[Total Sales].[All]" allUniqueName="[Range].[Total Sales].[All]" dimensionUniqueName="[Range]" displayFolder="" count="0" memberValueDatatype="20" unbalanced="0"/>
    <cacheHierarchy uniqueName="[Range].[Customer Name]" caption="Customer Name" attribute="1" defaultMemberUniqueName="[Range].[Customer Name].[All]" allUniqueName="[Range].[Customer Name].[All]" dimensionUniqueName="[Range]" displayFolder="" count="0" memberValueDatatype="130" unbalanced="0"/>
    <cacheHierarchy uniqueName="[Range].[Customer Location]" caption="Customer Location" attribute="1" defaultMemberUniqueName="[Range].[Customer Location].[All]" allUniqueName="[Range].[Customer Location].[All]" dimensionUniqueName="[Range]" displayFolder="" count="0" memberValueDatatype="130" unbalanced="0"/>
    <cacheHierarchy uniqueName="[Range].[Payment Method]" caption="Payment Method" attribute="1" defaultMemberUniqueName="[Range].[Payment Method].[All]" allUniqueName="[Range].[Payment Method].[All]" dimensionUniqueName="[Range]" displayFolder="" count="0" memberValueDatatype="130" unbalanced="0"/>
    <cacheHierarchy uniqueName="[Range].[Status]" caption="Status" attribute="1" defaultMemberUniqueName="[Range].[Status].[All]" allUniqueName="[Range].[Status].[All]" dimensionUniqueName="[Range]" displayFolder="" count="0" memberValueDatatype="130" unbalanced="0"/>
    <cacheHierarchy uniqueName="[Range].[Month]" caption="Month" attribute="1" defaultMemberUniqueName="[Range].[Month].[All]" allUniqueName="[Range].[Month].[All]" dimensionUniqueName="[Range]" displayFolder="" count="2" memberValueDatatype="130" unbalanced="0">
      <fieldsUsage count="2">
        <fieldUsage x="-1"/>
        <fieldUsage x="1"/>
      </fieldsUsage>
    </cacheHierarchy>
    <cacheHierarchy uniqueName="[Range].[Date (Month)]" caption="Date (Month)" attribute="1" defaultMemberUniqueName="[Range].[Date (Month)].[All]" allUniqueName="[Range].[Date (Month)].[All]" dimensionUniqueName="[Range]" displayFolder="" count="0" memberValueDatatype="130" unbalanced="0"/>
    <cacheHierarchy uniqueName="[Range 1].[Order ID]" caption="Order ID" attribute="1" defaultMemberUniqueName="[Range 1].[Order ID].[All]" allUniqueName="[Range 1].[Order ID].[All]" dimensionUniqueName="[Range 1]" displayFolder="" count="0" memberValueDatatype="130" unbalanced="0"/>
    <cacheHierarchy uniqueName="[Range 1].[Date]" caption="Date" attribute="1" time="1" defaultMemberUniqueName="[Range 1].[Date].[All]" allUniqueName="[Range 1].[Date].[All]" dimensionUniqueName="[Range 1]" displayFolder="" count="0" memberValueDatatype="7" unbalanced="0"/>
    <cacheHierarchy uniqueName="[Range 1].[Product]" caption="Product" attribute="1" defaultMemberUniqueName="[Range 1].[Product].[All]" allUniqueName="[Range 1].[Product].[All]" dimensionUniqueName="[Range 1]" displayFolder="" count="0" memberValueDatatype="130" unbalanced="0"/>
    <cacheHierarchy uniqueName="[Range 1].[Category]" caption="Category" attribute="1" defaultMemberUniqueName="[Range 1].[Category].[All]" allUniqueName="[Range 1].[Category].[All]" dimensionUniqueName="[Range 1]" displayFolder="" count="0" memberValueDatatype="130" unbalanced="0"/>
    <cacheHierarchy uniqueName="[Range 1].[Price]" caption="Price" attribute="1" defaultMemberUniqueName="[Range 1].[Price].[All]" allUniqueName="[Range 1].[Price].[All]" dimensionUniqueName="[Range 1]" displayFolder="" count="0" memberValueDatatype="20" unbalanced="0"/>
    <cacheHierarchy uniqueName="[Range 1].[Quantity]" caption="Quantity" attribute="1" defaultMemberUniqueName="[Range 1].[Quantity].[All]" allUniqueName="[Range 1].[Quantity].[All]" dimensionUniqueName="[Range 1]" displayFolder="" count="0" memberValueDatatype="20" unbalanced="0"/>
    <cacheHierarchy uniqueName="[Range 1].[Total Sales]" caption="Total Sales" attribute="1" defaultMemberUniqueName="[Range 1].[Total Sales].[All]" allUniqueName="[Range 1].[Total Sales].[All]" dimensionUniqueName="[Range 1]" displayFolder="" count="0" memberValueDatatype="20" unbalanced="0"/>
    <cacheHierarchy uniqueName="[Range 1].[Customer Name]" caption="Customer Name" attribute="1" defaultMemberUniqueName="[Range 1].[Customer Name].[All]" allUniqueName="[Range 1].[Customer Name].[All]" dimensionUniqueName="[Range 1]" displayFolder="" count="0" memberValueDatatype="130" unbalanced="0"/>
    <cacheHierarchy uniqueName="[Range 1].[Customer Location]" caption="Customer Location" attribute="1" defaultMemberUniqueName="[Range 1].[Customer Location].[All]" allUniqueName="[Range 1].[Customer Location].[All]" dimensionUniqueName="[Range 1]" displayFolder="" count="0" memberValueDatatype="130" unbalanced="0"/>
    <cacheHierarchy uniqueName="[Range 1].[Payment Method]" caption="Payment Method" attribute="1" defaultMemberUniqueName="[Range 1].[Payment Method].[All]" allUniqueName="[Range 1].[Payment Method].[All]" dimensionUniqueName="[Range 1]" displayFolder="" count="0" memberValueDatatype="130" unbalanced="0"/>
    <cacheHierarchy uniqueName="[Range 1].[Status]" caption="Status" attribute="1" defaultMemberUniqueName="[Range 1].[Status].[All]" allUniqueName="[Range 1].[Status].[All]" dimensionUniqueName="[Range 1]" displayFolder="" count="0" memberValueDatatype="130" unbalanced="0"/>
    <cacheHierarchy uniqueName="[Range 1].[Month]" caption="Month" attribute="1" defaultMemberUniqueName="[Range 1].[Month].[All]" allUniqueName="[Range 1].[Month].[All]" dimensionUniqueName="[Range 1]" displayFolder="" count="0" memberValueDatatype="130" unbalanced="0"/>
    <cacheHierarchy uniqueName="[Range 1].[week from date]" caption="week from date" attribute="1" defaultMemberUniqueName="[Range 1].[week from date].[All]" allUniqueName="[Range 1].[week from date].[All]" dimensionUniqueName="[Range 1]"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Total Sales]" caption="Sum of Total Sales" measure="1" displayFolder="" measureGroup="Range"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Range"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Range"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Range" count="0" hidden="1">
      <extLst>
        <ext xmlns:x15="http://schemas.microsoft.com/office/spreadsheetml/2010/11/main" uri="{B97F6D7D-B522-45F9-BDA1-12C45D357490}">
          <x15:cacheHierarchy aggregatedColumn="7"/>
        </ext>
      </extLst>
    </cacheHierarchy>
    <cacheHierarchy uniqueName="[Measures].[Sum of Quantity]" caption="Sum of Quantity" measure="1" displayFolder="" measureGroup="Range"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Total Sales 2]" caption="Sum of Total Sales 2" measure="1" displayFolder="" measureGroup="Range 1" count="0" hidden="1">
      <extLst>
        <ext xmlns:x15="http://schemas.microsoft.com/office/spreadsheetml/2010/11/main" uri="{B97F6D7D-B522-45F9-BDA1-12C45D357490}">
          <x15:cacheHierarchy aggregatedColumn="19"/>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lasam praveen" refreshedDate="45813.890843981484" backgroundQuery="1" createdVersion="8" refreshedVersion="8" minRefreshableVersion="3" recordCount="0" supportSubquery="1" supportAdvancedDrill="1" xr:uid="{74BA4134-FC3C-4F35-B20B-A79AD71DED65}">
  <cacheSource type="external" connectionId="1"/>
  <cacheFields count="3">
    <cacheField name="[Measures].[Sum of Total Sales]" caption="Sum of Total Sales" numFmtId="0" hierarchy="30" level="32767"/>
    <cacheField name="[Range].[Product].[Product]" caption="Product" numFmtId="0" hierarchy="2" level="1">
      <sharedItems count="10">
        <s v="Book"/>
        <s v="Headphones"/>
        <s v="Jeans"/>
        <s v="Laptop"/>
        <s v="Refrigerator"/>
        <s v="Running Shoes"/>
        <s v="Smartphone"/>
        <s v="Smartwatch"/>
        <s v="T-Shirt"/>
        <s v="Washing Machine"/>
      </sharedItems>
    </cacheField>
    <cacheField name="[Range].[Month].[Month]" caption="Month" numFmtId="0" hierarchy="11" level="1">
      <sharedItems containsSemiMixedTypes="0" containsNonDate="0" containsString="0"/>
    </cacheField>
  </cacheFields>
  <cacheHierarchies count="36">
    <cacheHierarchy uniqueName="[Range].[Order ID]" caption="Order ID" attribute="1" defaultMemberUniqueName="[Range].[Order ID].[All]" allUniqueName="[Range].[Order ID].[All]" dimensionUniqueName="[Range]" displayFolder="" count="0" memberValueDatatype="130" unbalanced="0"/>
    <cacheHierarchy uniqueName="[Range].[Date]" caption="Date" attribute="1" time="1" defaultMemberUniqueName="[Range].[Date].[All]" allUniqueName="[Range].[Date].[All]" dimensionUniqueName="[Range]" displayFolder="" count="0" memberValueDatatype="7" unbalanced="0"/>
    <cacheHierarchy uniqueName="[Range].[Product]" caption="Product" attribute="1" defaultMemberUniqueName="[Range].[Product].[All]" allUniqueName="[Range].[Product].[All]" dimensionUniqueName="[Range]" displayFolder="" count="2" memberValueDatatype="130" unbalanced="0">
      <fieldsUsage count="2">
        <fieldUsage x="-1"/>
        <fieldUsage x="1"/>
      </fieldsUsage>
    </cacheHierarchy>
    <cacheHierarchy uniqueName="[Range].[Category]" caption="Category" attribute="1" defaultMemberUniqueName="[Range].[Category].[All]" allUniqueName="[Range].[Category].[All]" dimensionUniqueName="[Range]" displayFolder="" count="2" memberValueDatatype="130" unbalanced="0"/>
    <cacheHierarchy uniqueName="[Range].[Price]" caption="Price" attribute="1" defaultMemberUniqueName="[Range].[Price].[All]" allUniqueName="[Range].[Price].[All]" dimensionUniqueName="[Range]" displayFolder="" count="0" memberValueDatatype="20" unbalanced="0"/>
    <cacheHierarchy uniqueName="[Range].[Quantity]" caption="Quantity" attribute="1" defaultMemberUniqueName="[Range].[Quantity].[All]" allUniqueName="[Range].[Quantity].[All]" dimensionUniqueName="[Range]" displayFolder="" count="0" memberValueDatatype="20" unbalanced="0"/>
    <cacheHierarchy uniqueName="[Range].[Total Sales]" caption="Total Sales" attribute="1" defaultMemberUniqueName="[Range].[Total Sales].[All]" allUniqueName="[Range].[Total Sales].[All]" dimensionUniqueName="[Range]" displayFolder="" count="0" memberValueDatatype="20" unbalanced="0"/>
    <cacheHierarchy uniqueName="[Range].[Customer Name]" caption="Customer Name" attribute="1" defaultMemberUniqueName="[Range].[Customer Name].[All]" allUniqueName="[Range].[Customer Name].[All]" dimensionUniqueName="[Range]" displayFolder="" count="0" memberValueDatatype="130" unbalanced="0"/>
    <cacheHierarchy uniqueName="[Range].[Customer Location]" caption="Customer Location" attribute="1" defaultMemberUniqueName="[Range].[Customer Location].[All]" allUniqueName="[Range].[Customer Location].[All]" dimensionUniqueName="[Range]" displayFolder="" count="0" memberValueDatatype="130" unbalanced="0"/>
    <cacheHierarchy uniqueName="[Range].[Payment Method]" caption="Payment Method" attribute="1" defaultMemberUniqueName="[Range].[Payment Method].[All]" allUniqueName="[Range].[Payment Method].[All]" dimensionUniqueName="[Range]" displayFolder="" count="0" memberValueDatatype="130" unbalanced="0"/>
    <cacheHierarchy uniqueName="[Range].[Status]" caption="Status" attribute="1" defaultMemberUniqueName="[Range].[Status].[All]" allUniqueName="[Range].[Status].[All]" dimensionUniqueName="[Range]" displayFolder="" count="0" memberValueDatatype="130" unbalanced="0"/>
    <cacheHierarchy uniqueName="[Range].[Month]" caption="Month" attribute="1" defaultMemberUniqueName="[Range].[Month].[All]" allUniqueName="[Range].[Month].[All]" dimensionUniqueName="[Range]" displayFolder="" count="2" memberValueDatatype="130" unbalanced="0">
      <fieldsUsage count="2">
        <fieldUsage x="-1"/>
        <fieldUsage x="2"/>
      </fieldsUsage>
    </cacheHierarchy>
    <cacheHierarchy uniqueName="[Range].[Date (Month)]" caption="Date (Month)" attribute="1" defaultMemberUniqueName="[Range].[Date (Month)].[All]" allUniqueName="[Range].[Date (Month)].[All]" dimensionUniqueName="[Range]" displayFolder="" count="0" memberValueDatatype="130" unbalanced="0"/>
    <cacheHierarchy uniqueName="[Range 1].[Order ID]" caption="Order ID" attribute="1" defaultMemberUniqueName="[Range 1].[Order ID].[All]" allUniqueName="[Range 1].[Order ID].[All]" dimensionUniqueName="[Range 1]" displayFolder="" count="0" memberValueDatatype="130" unbalanced="0"/>
    <cacheHierarchy uniqueName="[Range 1].[Date]" caption="Date" attribute="1" time="1" defaultMemberUniqueName="[Range 1].[Date].[All]" allUniqueName="[Range 1].[Date].[All]" dimensionUniqueName="[Range 1]" displayFolder="" count="0" memberValueDatatype="7" unbalanced="0"/>
    <cacheHierarchy uniqueName="[Range 1].[Product]" caption="Product" attribute="1" defaultMemberUniqueName="[Range 1].[Product].[All]" allUniqueName="[Range 1].[Product].[All]" dimensionUniqueName="[Range 1]" displayFolder="" count="0" memberValueDatatype="130" unbalanced="0"/>
    <cacheHierarchy uniqueName="[Range 1].[Category]" caption="Category" attribute="1" defaultMemberUniqueName="[Range 1].[Category].[All]" allUniqueName="[Range 1].[Category].[All]" dimensionUniqueName="[Range 1]" displayFolder="" count="0" memberValueDatatype="130" unbalanced="0"/>
    <cacheHierarchy uniqueName="[Range 1].[Price]" caption="Price" attribute="1" defaultMemberUniqueName="[Range 1].[Price].[All]" allUniqueName="[Range 1].[Price].[All]" dimensionUniqueName="[Range 1]" displayFolder="" count="0" memberValueDatatype="20" unbalanced="0"/>
    <cacheHierarchy uniqueName="[Range 1].[Quantity]" caption="Quantity" attribute="1" defaultMemberUniqueName="[Range 1].[Quantity].[All]" allUniqueName="[Range 1].[Quantity].[All]" dimensionUniqueName="[Range 1]" displayFolder="" count="0" memberValueDatatype="20" unbalanced="0"/>
    <cacheHierarchy uniqueName="[Range 1].[Total Sales]" caption="Total Sales" attribute="1" defaultMemberUniqueName="[Range 1].[Total Sales].[All]" allUniqueName="[Range 1].[Total Sales].[All]" dimensionUniqueName="[Range 1]" displayFolder="" count="0" memberValueDatatype="20" unbalanced="0"/>
    <cacheHierarchy uniqueName="[Range 1].[Customer Name]" caption="Customer Name" attribute="1" defaultMemberUniqueName="[Range 1].[Customer Name].[All]" allUniqueName="[Range 1].[Customer Name].[All]" dimensionUniqueName="[Range 1]" displayFolder="" count="0" memberValueDatatype="130" unbalanced="0"/>
    <cacheHierarchy uniqueName="[Range 1].[Customer Location]" caption="Customer Location" attribute="1" defaultMemberUniqueName="[Range 1].[Customer Location].[All]" allUniqueName="[Range 1].[Customer Location].[All]" dimensionUniqueName="[Range 1]" displayFolder="" count="0" memberValueDatatype="130" unbalanced="0"/>
    <cacheHierarchy uniqueName="[Range 1].[Payment Method]" caption="Payment Method" attribute="1" defaultMemberUniqueName="[Range 1].[Payment Method].[All]" allUniqueName="[Range 1].[Payment Method].[All]" dimensionUniqueName="[Range 1]" displayFolder="" count="0" memberValueDatatype="130" unbalanced="0"/>
    <cacheHierarchy uniqueName="[Range 1].[Status]" caption="Status" attribute="1" defaultMemberUniqueName="[Range 1].[Status].[All]" allUniqueName="[Range 1].[Status].[All]" dimensionUniqueName="[Range 1]" displayFolder="" count="0" memberValueDatatype="130" unbalanced="0"/>
    <cacheHierarchy uniqueName="[Range 1].[Month]" caption="Month" attribute="1" defaultMemberUniqueName="[Range 1].[Month].[All]" allUniqueName="[Range 1].[Month].[All]" dimensionUniqueName="[Range 1]" displayFolder="" count="0" memberValueDatatype="130" unbalanced="0"/>
    <cacheHierarchy uniqueName="[Range 1].[week from date]" caption="week from date" attribute="1" defaultMemberUniqueName="[Range 1].[week from date].[All]" allUniqueName="[Range 1].[week from date].[All]" dimensionUniqueName="[Range 1]"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Total Sales]" caption="Sum of Total Sales" measure="1" displayFolder="" measureGroup="Range" count="0" oneField="1" hidden="1">
      <fieldsUsage count="1">
        <fieldUsage x="0"/>
      </fieldsUsage>
      <extLst>
        <ext xmlns:x15="http://schemas.microsoft.com/office/spreadsheetml/2010/11/main" uri="{B97F6D7D-B522-45F9-BDA1-12C45D357490}">
          <x15:cacheHierarchy aggregatedColumn="6"/>
        </ext>
      </extLst>
    </cacheHierarchy>
    <cacheHierarchy uniqueName="[Measures].[Sum of Price]" caption="Sum of Price" measure="1" displayFolder="" measureGroup="Range"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Range"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Range" count="0" hidden="1">
      <extLst>
        <ext xmlns:x15="http://schemas.microsoft.com/office/spreadsheetml/2010/11/main" uri="{B97F6D7D-B522-45F9-BDA1-12C45D357490}">
          <x15:cacheHierarchy aggregatedColumn="7"/>
        </ext>
      </extLst>
    </cacheHierarchy>
    <cacheHierarchy uniqueName="[Measures].[Sum of Quantity]" caption="Sum of Quantity" measure="1" displayFolder="" measureGroup="Range" count="0" hidden="1">
      <extLst>
        <ext xmlns:x15="http://schemas.microsoft.com/office/spreadsheetml/2010/11/main" uri="{B97F6D7D-B522-45F9-BDA1-12C45D357490}">
          <x15:cacheHierarchy aggregatedColumn="5"/>
        </ext>
      </extLst>
    </cacheHierarchy>
    <cacheHierarchy uniqueName="[Measures].[Sum of Total Sales 2]" caption="Sum of Total Sales 2" measure="1" displayFolder="" measureGroup="Range 1" count="0" hidden="1">
      <extLst>
        <ext xmlns:x15="http://schemas.microsoft.com/office/spreadsheetml/2010/11/main" uri="{B97F6D7D-B522-45F9-BDA1-12C45D357490}">
          <x15:cacheHierarchy aggregatedColumn="19"/>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lasam praveen" refreshedDate="45813.890844212961" backgroundQuery="1" createdVersion="8" refreshedVersion="8" minRefreshableVersion="3" recordCount="0" supportSubquery="1" supportAdvancedDrill="1" xr:uid="{D1E04A4D-28B5-4042-BA5E-A30C3035B0FD}">
  <cacheSource type="external" connectionId="1"/>
  <cacheFields count="2">
    <cacheField name="[Measures].[Sum of Price]" caption="Sum of Price" numFmtId="0" hierarchy="31" level="32767"/>
    <cacheField name="[Range].[Month].[Month]" caption="Month" numFmtId="0" hierarchy="11" level="1">
      <sharedItems containsSemiMixedTypes="0" containsNonDate="0" containsString="0"/>
    </cacheField>
  </cacheFields>
  <cacheHierarchies count="36">
    <cacheHierarchy uniqueName="[Range].[Order ID]" caption="Order ID" attribute="1" defaultMemberUniqueName="[Range].[Order ID].[All]" allUniqueName="[Range].[Order ID].[All]" dimensionUniqueName="[Range]" displayFolder="" count="0" memberValueDatatype="130" unbalanced="0"/>
    <cacheHierarchy uniqueName="[Range].[Date]" caption="Date" attribute="1" time="1" defaultMemberUniqueName="[Range].[Date].[All]" allUniqueName="[Range].[Date].[All]" dimensionUniqueName="[Range]" displayFolder="" count="0" memberValueDatatype="7"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cacheHierarchy uniqueName="[Range].[Price]" caption="Price" attribute="1" defaultMemberUniqueName="[Range].[Price].[All]" allUniqueName="[Range].[Price].[All]" dimensionUniqueName="[Range]" displayFolder="" count="0" memberValueDatatype="20" unbalanced="0"/>
    <cacheHierarchy uniqueName="[Range].[Quantity]" caption="Quantity" attribute="1" defaultMemberUniqueName="[Range].[Quantity].[All]" allUniqueName="[Range].[Quantity].[All]" dimensionUniqueName="[Range]" displayFolder="" count="0" memberValueDatatype="20" unbalanced="0"/>
    <cacheHierarchy uniqueName="[Range].[Total Sales]" caption="Total Sales" attribute="1" defaultMemberUniqueName="[Range].[Total Sales].[All]" allUniqueName="[Range].[Total Sales].[All]" dimensionUniqueName="[Range]" displayFolder="" count="0" memberValueDatatype="20" unbalanced="0"/>
    <cacheHierarchy uniqueName="[Range].[Customer Name]" caption="Customer Name" attribute="1" defaultMemberUniqueName="[Range].[Customer Name].[All]" allUniqueName="[Range].[Customer Name].[All]" dimensionUniqueName="[Range]" displayFolder="" count="0" memberValueDatatype="130" unbalanced="0"/>
    <cacheHierarchy uniqueName="[Range].[Customer Location]" caption="Customer Location" attribute="1" defaultMemberUniqueName="[Range].[Customer Location].[All]" allUniqueName="[Range].[Customer Location].[All]" dimensionUniqueName="[Range]" displayFolder="" count="0" memberValueDatatype="130" unbalanced="0"/>
    <cacheHierarchy uniqueName="[Range].[Payment Method]" caption="Payment Method" attribute="1" defaultMemberUniqueName="[Range].[Payment Method].[All]" allUniqueName="[Range].[Payment Method].[All]" dimensionUniqueName="[Range]" displayFolder="" count="0" memberValueDatatype="130" unbalanced="0"/>
    <cacheHierarchy uniqueName="[Range].[Status]" caption="Status" attribute="1" defaultMemberUniqueName="[Range].[Status].[All]" allUniqueName="[Range].[Status].[All]" dimensionUniqueName="[Range]" displayFolder="" count="0" memberValueDatatype="130" unbalanced="0"/>
    <cacheHierarchy uniqueName="[Range].[Month]" caption="Month" attribute="1" defaultMemberUniqueName="[Range].[Month].[All]" allUniqueName="[Range].[Month].[All]" dimensionUniqueName="[Range]" displayFolder="" count="2" memberValueDatatype="130" unbalanced="0">
      <fieldsUsage count="2">
        <fieldUsage x="-1"/>
        <fieldUsage x="1"/>
      </fieldsUsage>
    </cacheHierarchy>
    <cacheHierarchy uniqueName="[Range].[Date (Month)]" caption="Date (Month)" attribute="1" defaultMemberUniqueName="[Range].[Date (Month)].[All]" allUniqueName="[Range].[Date (Month)].[All]" dimensionUniqueName="[Range]" displayFolder="" count="0" memberValueDatatype="130" unbalanced="0"/>
    <cacheHierarchy uniqueName="[Range 1].[Order ID]" caption="Order ID" attribute="1" defaultMemberUniqueName="[Range 1].[Order ID].[All]" allUniqueName="[Range 1].[Order ID].[All]" dimensionUniqueName="[Range 1]" displayFolder="" count="0" memberValueDatatype="130" unbalanced="0"/>
    <cacheHierarchy uniqueName="[Range 1].[Date]" caption="Date" attribute="1" time="1" defaultMemberUniqueName="[Range 1].[Date].[All]" allUniqueName="[Range 1].[Date].[All]" dimensionUniqueName="[Range 1]" displayFolder="" count="0" memberValueDatatype="7" unbalanced="0"/>
    <cacheHierarchy uniqueName="[Range 1].[Product]" caption="Product" attribute="1" defaultMemberUniqueName="[Range 1].[Product].[All]" allUniqueName="[Range 1].[Product].[All]" dimensionUniqueName="[Range 1]" displayFolder="" count="0" memberValueDatatype="130" unbalanced="0"/>
    <cacheHierarchy uniqueName="[Range 1].[Category]" caption="Category" attribute="1" defaultMemberUniqueName="[Range 1].[Category].[All]" allUniqueName="[Range 1].[Category].[All]" dimensionUniqueName="[Range 1]" displayFolder="" count="0" memberValueDatatype="130" unbalanced="0"/>
    <cacheHierarchy uniqueName="[Range 1].[Price]" caption="Price" attribute="1" defaultMemberUniqueName="[Range 1].[Price].[All]" allUniqueName="[Range 1].[Price].[All]" dimensionUniqueName="[Range 1]" displayFolder="" count="0" memberValueDatatype="20" unbalanced="0"/>
    <cacheHierarchy uniqueName="[Range 1].[Quantity]" caption="Quantity" attribute="1" defaultMemberUniqueName="[Range 1].[Quantity].[All]" allUniqueName="[Range 1].[Quantity].[All]" dimensionUniqueName="[Range 1]" displayFolder="" count="0" memberValueDatatype="20" unbalanced="0"/>
    <cacheHierarchy uniqueName="[Range 1].[Total Sales]" caption="Total Sales" attribute="1" defaultMemberUniqueName="[Range 1].[Total Sales].[All]" allUniqueName="[Range 1].[Total Sales].[All]" dimensionUniqueName="[Range 1]" displayFolder="" count="0" memberValueDatatype="20" unbalanced="0"/>
    <cacheHierarchy uniqueName="[Range 1].[Customer Name]" caption="Customer Name" attribute="1" defaultMemberUniqueName="[Range 1].[Customer Name].[All]" allUniqueName="[Range 1].[Customer Name].[All]" dimensionUniqueName="[Range 1]" displayFolder="" count="0" memberValueDatatype="130" unbalanced="0"/>
    <cacheHierarchy uniqueName="[Range 1].[Customer Location]" caption="Customer Location" attribute="1" defaultMemberUniqueName="[Range 1].[Customer Location].[All]" allUniqueName="[Range 1].[Customer Location].[All]" dimensionUniqueName="[Range 1]" displayFolder="" count="0" memberValueDatatype="130" unbalanced="0"/>
    <cacheHierarchy uniqueName="[Range 1].[Payment Method]" caption="Payment Method" attribute="1" defaultMemberUniqueName="[Range 1].[Payment Method].[All]" allUniqueName="[Range 1].[Payment Method].[All]" dimensionUniqueName="[Range 1]" displayFolder="" count="0" memberValueDatatype="130" unbalanced="0"/>
    <cacheHierarchy uniqueName="[Range 1].[Status]" caption="Status" attribute="1" defaultMemberUniqueName="[Range 1].[Status].[All]" allUniqueName="[Range 1].[Status].[All]" dimensionUniqueName="[Range 1]" displayFolder="" count="0" memberValueDatatype="130" unbalanced="0"/>
    <cacheHierarchy uniqueName="[Range 1].[Month]" caption="Month" attribute="1" defaultMemberUniqueName="[Range 1].[Month].[All]" allUniqueName="[Range 1].[Month].[All]" dimensionUniqueName="[Range 1]" displayFolder="" count="0" memberValueDatatype="130" unbalanced="0"/>
    <cacheHierarchy uniqueName="[Range 1].[week from date]" caption="week from date" attribute="1" defaultMemberUniqueName="[Range 1].[week from date].[All]" allUniqueName="[Range 1].[week from date].[All]" dimensionUniqueName="[Range 1]"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Total Sales]" caption="Sum of Total Sales" measure="1" displayFolder="" measureGroup="Range"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Range" count="0" oneField="1" hidden="1">
      <fieldsUsage count="1">
        <fieldUsage x="0"/>
      </fieldsUsage>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Range"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Range" count="0" hidden="1">
      <extLst>
        <ext xmlns:x15="http://schemas.microsoft.com/office/spreadsheetml/2010/11/main" uri="{B97F6D7D-B522-45F9-BDA1-12C45D357490}">
          <x15:cacheHierarchy aggregatedColumn="7"/>
        </ext>
      </extLst>
    </cacheHierarchy>
    <cacheHierarchy uniqueName="[Measures].[Sum of Quantity]" caption="Sum of Quantity" measure="1" displayFolder="" measureGroup="Range" count="0" hidden="1">
      <extLst>
        <ext xmlns:x15="http://schemas.microsoft.com/office/spreadsheetml/2010/11/main" uri="{B97F6D7D-B522-45F9-BDA1-12C45D357490}">
          <x15:cacheHierarchy aggregatedColumn="5"/>
        </ext>
      </extLst>
    </cacheHierarchy>
    <cacheHierarchy uniqueName="[Measures].[Sum of Total Sales 2]" caption="Sum of Total Sales 2" measure="1" displayFolder="" measureGroup="Range 1" count="0" hidden="1">
      <extLst>
        <ext xmlns:x15="http://schemas.microsoft.com/office/spreadsheetml/2010/11/main" uri="{B97F6D7D-B522-45F9-BDA1-12C45D357490}">
          <x15:cacheHierarchy aggregatedColumn="19"/>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lasam praveen" refreshedDate="45813.890844675923" backgroundQuery="1" createdVersion="8" refreshedVersion="8" minRefreshableVersion="3" recordCount="0" supportSubquery="1" supportAdvancedDrill="1" xr:uid="{9F7D3C48-3D12-43D3-8F61-862146D7A28E}">
  <cacheSource type="external" connectionId="1"/>
  <cacheFields count="3">
    <cacheField name="[Range].[Category].[Category]" caption="Category" numFmtId="0" hierarchy="3" level="1">
      <sharedItems count="5">
        <s v="Books"/>
        <s v="Clothing"/>
        <s v="Electronics"/>
        <s v="Footwear"/>
        <s v="Home Appliances"/>
      </sharedItems>
    </cacheField>
    <cacheField name="[Measures].[Sum of Quantity]" caption="Sum of Quantity" numFmtId="0" hierarchy="34" level="32767"/>
    <cacheField name="[Range].[Month].[Month]" caption="Month" numFmtId="0" hierarchy="11" level="1">
      <sharedItems containsSemiMixedTypes="0" containsNonDate="0" containsString="0"/>
    </cacheField>
  </cacheFields>
  <cacheHierarchies count="36">
    <cacheHierarchy uniqueName="[Range].[Order ID]" caption="Order ID" attribute="1" defaultMemberUniqueName="[Range].[Order ID].[All]" allUniqueName="[Range].[Order ID].[All]" dimensionUniqueName="[Range]" displayFolder="" count="0" memberValueDatatype="130" unbalanced="0"/>
    <cacheHierarchy uniqueName="[Range].[Date]" caption="Date" attribute="1" time="1" defaultMemberUniqueName="[Range].[Date].[All]" allUniqueName="[Range].[Date].[All]" dimensionUniqueName="[Range]" displayFolder="" count="0" memberValueDatatype="7"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fieldsUsage count="2">
        <fieldUsage x="-1"/>
        <fieldUsage x="0"/>
      </fieldsUsage>
    </cacheHierarchy>
    <cacheHierarchy uniqueName="[Range].[Price]" caption="Price" attribute="1" defaultMemberUniqueName="[Range].[Price].[All]" allUniqueName="[Range].[Price].[All]" dimensionUniqueName="[Range]" displayFolder="" count="0" memberValueDatatype="20" unbalanced="0"/>
    <cacheHierarchy uniqueName="[Range].[Quantity]" caption="Quantity" attribute="1" defaultMemberUniqueName="[Range].[Quantity].[All]" allUniqueName="[Range].[Quantity].[All]" dimensionUniqueName="[Range]" displayFolder="" count="0" memberValueDatatype="20" unbalanced="0"/>
    <cacheHierarchy uniqueName="[Range].[Total Sales]" caption="Total Sales" attribute="1" defaultMemberUniqueName="[Range].[Total Sales].[All]" allUniqueName="[Range].[Total Sales].[All]" dimensionUniqueName="[Range]" displayFolder="" count="0" memberValueDatatype="20" unbalanced="0"/>
    <cacheHierarchy uniqueName="[Range].[Customer Name]" caption="Customer Name" attribute="1" defaultMemberUniqueName="[Range].[Customer Name].[All]" allUniqueName="[Range].[Customer Name].[All]" dimensionUniqueName="[Range]" displayFolder="" count="0" memberValueDatatype="130" unbalanced="0"/>
    <cacheHierarchy uniqueName="[Range].[Customer Location]" caption="Customer Location" attribute="1" defaultMemberUniqueName="[Range].[Customer Location].[All]" allUniqueName="[Range].[Customer Location].[All]" dimensionUniqueName="[Range]" displayFolder="" count="0" memberValueDatatype="130" unbalanced="0"/>
    <cacheHierarchy uniqueName="[Range].[Payment Method]" caption="Payment Method" attribute="1" defaultMemberUniqueName="[Range].[Payment Method].[All]" allUniqueName="[Range].[Payment Method].[All]" dimensionUniqueName="[Range]" displayFolder="" count="0" memberValueDatatype="130" unbalanced="0"/>
    <cacheHierarchy uniqueName="[Range].[Status]" caption="Status" attribute="1" defaultMemberUniqueName="[Range].[Status].[All]" allUniqueName="[Range].[Status].[All]" dimensionUniqueName="[Range]" displayFolder="" count="0" memberValueDatatype="130" unbalanced="0"/>
    <cacheHierarchy uniqueName="[Range].[Month]" caption="Month" attribute="1" defaultMemberUniqueName="[Range].[Month].[All]" allUniqueName="[Range].[Month].[All]" dimensionUniqueName="[Range]" displayFolder="" count="2" memberValueDatatype="130" unbalanced="0">
      <fieldsUsage count="2">
        <fieldUsage x="-1"/>
        <fieldUsage x="2"/>
      </fieldsUsage>
    </cacheHierarchy>
    <cacheHierarchy uniqueName="[Range].[Date (Month)]" caption="Date (Month)" attribute="1" defaultMemberUniqueName="[Range].[Date (Month)].[All]" allUniqueName="[Range].[Date (Month)].[All]" dimensionUniqueName="[Range]" displayFolder="" count="0" memberValueDatatype="130" unbalanced="0"/>
    <cacheHierarchy uniqueName="[Range 1].[Order ID]" caption="Order ID" attribute="1" defaultMemberUniqueName="[Range 1].[Order ID].[All]" allUniqueName="[Range 1].[Order ID].[All]" dimensionUniqueName="[Range 1]" displayFolder="" count="0" memberValueDatatype="130" unbalanced="0"/>
    <cacheHierarchy uniqueName="[Range 1].[Date]" caption="Date" attribute="1" time="1" defaultMemberUniqueName="[Range 1].[Date].[All]" allUniqueName="[Range 1].[Date].[All]" dimensionUniqueName="[Range 1]" displayFolder="" count="0" memberValueDatatype="7" unbalanced="0"/>
    <cacheHierarchy uniqueName="[Range 1].[Product]" caption="Product" attribute="1" defaultMemberUniqueName="[Range 1].[Product].[All]" allUniqueName="[Range 1].[Product].[All]" dimensionUniqueName="[Range 1]" displayFolder="" count="0" memberValueDatatype="130" unbalanced="0"/>
    <cacheHierarchy uniqueName="[Range 1].[Category]" caption="Category" attribute="1" defaultMemberUniqueName="[Range 1].[Category].[All]" allUniqueName="[Range 1].[Category].[All]" dimensionUniqueName="[Range 1]" displayFolder="" count="0" memberValueDatatype="130" unbalanced="0"/>
    <cacheHierarchy uniqueName="[Range 1].[Price]" caption="Price" attribute="1" defaultMemberUniqueName="[Range 1].[Price].[All]" allUniqueName="[Range 1].[Price].[All]" dimensionUniqueName="[Range 1]" displayFolder="" count="0" memberValueDatatype="20" unbalanced="0"/>
    <cacheHierarchy uniqueName="[Range 1].[Quantity]" caption="Quantity" attribute="1" defaultMemberUniqueName="[Range 1].[Quantity].[All]" allUniqueName="[Range 1].[Quantity].[All]" dimensionUniqueName="[Range 1]" displayFolder="" count="0" memberValueDatatype="20" unbalanced="0"/>
    <cacheHierarchy uniqueName="[Range 1].[Total Sales]" caption="Total Sales" attribute="1" defaultMemberUniqueName="[Range 1].[Total Sales].[All]" allUniqueName="[Range 1].[Total Sales].[All]" dimensionUniqueName="[Range 1]" displayFolder="" count="0" memberValueDatatype="20" unbalanced="0"/>
    <cacheHierarchy uniqueName="[Range 1].[Customer Name]" caption="Customer Name" attribute="1" defaultMemberUniqueName="[Range 1].[Customer Name].[All]" allUniqueName="[Range 1].[Customer Name].[All]" dimensionUniqueName="[Range 1]" displayFolder="" count="0" memberValueDatatype="130" unbalanced="0"/>
    <cacheHierarchy uniqueName="[Range 1].[Customer Location]" caption="Customer Location" attribute="1" defaultMemberUniqueName="[Range 1].[Customer Location].[All]" allUniqueName="[Range 1].[Customer Location].[All]" dimensionUniqueName="[Range 1]" displayFolder="" count="0" memberValueDatatype="130" unbalanced="0"/>
    <cacheHierarchy uniqueName="[Range 1].[Payment Method]" caption="Payment Method" attribute="1" defaultMemberUniqueName="[Range 1].[Payment Method].[All]" allUniqueName="[Range 1].[Payment Method].[All]" dimensionUniqueName="[Range 1]" displayFolder="" count="0" memberValueDatatype="130" unbalanced="0"/>
    <cacheHierarchy uniqueName="[Range 1].[Status]" caption="Status" attribute="1" defaultMemberUniqueName="[Range 1].[Status].[All]" allUniqueName="[Range 1].[Status].[All]" dimensionUniqueName="[Range 1]" displayFolder="" count="0" memberValueDatatype="130" unbalanced="0"/>
    <cacheHierarchy uniqueName="[Range 1].[Month]" caption="Month" attribute="1" defaultMemberUniqueName="[Range 1].[Month].[All]" allUniqueName="[Range 1].[Month].[All]" dimensionUniqueName="[Range 1]" displayFolder="" count="0" memberValueDatatype="130" unbalanced="0"/>
    <cacheHierarchy uniqueName="[Range 1].[week from date]" caption="week from date" attribute="1" defaultMemberUniqueName="[Range 1].[week from date].[All]" allUniqueName="[Range 1].[week from date].[All]" dimensionUniqueName="[Range 1]"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Total Sales]" caption="Sum of Total Sales" measure="1" displayFolder="" measureGroup="Range"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Range"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Range"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Range" count="0" hidden="1">
      <extLst>
        <ext xmlns:x15="http://schemas.microsoft.com/office/spreadsheetml/2010/11/main" uri="{B97F6D7D-B522-45F9-BDA1-12C45D357490}">
          <x15:cacheHierarchy aggregatedColumn="7"/>
        </ext>
      </extLst>
    </cacheHierarchy>
    <cacheHierarchy uniqueName="[Measures].[Sum of Quantity]" caption="Sum of Quantity" measure="1" displayFolder="" measureGroup="Range" count="0" oneField="1" hidden="1">
      <fieldsUsage count="1">
        <fieldUsage x="1"/>
      </fieldsUsage>
      <extLst>
        <ext xmlns:x15="http://schemas.microsoft.com/office/spreadsheetml/2010/11/main" uri="{B97F6D7D-B522-45F9-BDA1-12C45D357490}">
          <x15:cacheHierarchy aggregatedColumn="5"/>
        </ext>
      </extLst>
    </cacheHierarchy>
    <cacheHierarchy uniqueName="[Measures].[Sum of Total Sales 2]" caption="Sum of Total Sales 2" measure="1" displayFolder="" measureGroup="Range 1" count="0" hidden="1">
      <extLst>
        <ext xmlns:x15="http://schemas.microsoft.com/office/spreadsheetml/2010/11/main" uri="{B97F6D7D-B522-45F9-BDA1-12C45D357490}">
          <x15:cacheHierarchy aggregatedColumn="19"/>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lasam praveen" refreshedDate="45813.890845023147" backgroundQuery="1" createdVersion="8" refreshedVersion="8" minRefreshableVersion="3" recordCount="0" supportSubquery="1" supportAdvancedDrill="1" xr:uid="{614EF0FF-2B48-4A66-91FF-B24C8ED011F4}">
  <cacheSource type="external" connectionId="1"/>
  <cacheFields count="2">
    <cacheField name="[Range].[Month].[Month]" caption="Month" numFmtId="0" hierarchy="11" level="1">
      <sharedItems count="3">
        <s v="Apr-2025"/>
        <s v="Feb-2025"/>
        <s v="Mar-2025"/>
      </sharedItems>
    </cacheField>
    <cacheField name="[Measures].[Sum of Total Sales]" caption="Sum of Total Sales" numFmtId="0" hierarchy="30" level="32767"/>
  </cacheFields>
  <cacheHierarchies count="36">
    <cacheHierarchy uniqueName="[Range].[Order ID]" caption="Order ID" attribute="1" defaultMemberUniqueName="[Range].[Order ID].[All]" allUniqueName="[Range].[Order ID].[All]" dimensionUniqueName="[Range]" displayFolder="" count="0" memberValueDatatype="130" unbalanced="0"/>
    <cacheHierarchy uniqueName="[Range].[Date]" caption="Date" attribute="1" time="1" defaultMemberUniqueName="[Range].[Date].[All]" allUniqueName="[Range].[Date].[All]" dimensionUniqueName="[Range]" displayFolder="" count="0" memberValueDatatype="7"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cacheHierarchy uniqueName="[Range].[Price]" caption="Price" attribute="1" defaultMemberUniqueName="[Range].[Price].[All]" allUniqueName="[Range].[Price].[All]" dimensionUniqueName="[Range]" displayFolder="" count="0" memberValueDatatype="20" unbalanced="0"/>
    <cacheHierarchy uniqueName="[Range].[Quantity]" caption="Quantity" attribute="1" defaultMemberUniqueName="[Range].[Quantity].[All]" allUniqueName="[Range].[Quantity].[All]" dimensionUniqueName="[Range]" displayFolder="" count="0" memberValueDatatype="20" unbalanced="0"/>
    <cacheHierarchy uniqueName="[Range].[Total Sales]" caption="Total Sales" attribute="1" defaultMemberUniqueName="[Range].[Total Sales].[All]" allUniqueName="[Range].[Total Sales].[All]" dimensionUniqueName="[Range]" displayFolder="" count="0" memberValueDatatype="20" unbalanced="0"/>
    <cacheHierarchy uniqueName="[Range].[Customer Name]" caption="Customer Name" attribute="1" defaultMemberUniqueName="[Range].[Customer Name].[All]" allUniqueName="[Range].[Customer Name].[All]" dimensionUniqueName="[Range]" displayFolder="" count="0" memberValueDatatype="130" unbalanced="0"/>
    <cacheHierarchy uniqueName="[Range].[Customer Location]" caption="Customer Location" attribute="1" defaultMemberUniqueName="[Range].[Customer Location].[All]" allUniqueName="[Range].[Customer Location].[All]" dimensionUniqueName="[Range]" displayFolder="" count="0" memberValueDatatype="130" unbalanced="0"/>
    <cacheHierarchy uniqueName="[Range].[Payment Method]" caption="Payment Method" attribute="1" defaultMemberUniqueName="[Range].[Payment Method].[All]" allUniqueName="[Range].[Payment Method].[All]" dimensionUniqueName="[Range]" displayFolder="" count="0" memberValueDatatype="130" unbalanced="0"/>
    <cacheHierarchy uniqueName="[Range].[Status]" caption="Status" attribute="1" defaultMemberUniqueName="[Range].[Status].[All]" allUniqueName="[Range].[Status].[All]" dimensionUniqueName="[Range]" displayFolder="" count="0" memberValueDatatype="130" unbalanced="0"/>
    <cacheHierarchy uniqueName="[Range].[Month]" caption="Month" attribute="1" defaultMemberUniqueName="[Range].[Month].[All]" allUniqueName="[Range].[Month].[All]" dimensionUniqueName="[Range]" displayFolder="" count="2" memberValueDatatype="130" unbalanced="0">
      <fieldsUsage count="2">
        <fieldUsage x="-1"/>
        <fieldUsage x="0"/>
      </fieldsUsage>
    </cacheHierarchy>
    <cacheHierarchy uniqueName="[Range].[Date (Month)]" caption="Date (Month)" attribute="1" defaultMemberUniqueName="[Range].[Date (Month)].[All]" allUniqueName="[Range].[Date (Month)].[All]" dimensionUniqueName="[Range]" displayFolder="" count="0" memberValueDatatype="130" unbalanced="0"/>
    <cacheHierarchy uniqueName="[Range 1].[Order ID]" caption="Order ID" attribute="1" defaultMemberUniqueName="[Range 1].[Order ID].[All]" allUniqueName="[Range 1].[Order ID].[All]" dimensionUniqueName="[Range 1]" displayFolder="" count="0" memberValueDatatype="130" unbalanced="0"/>
    <cacheHierarchy uniqueName="[Range 1].[Date]" caption="Date" attribute="1" time="1" defaultMemberUniqueName="[Range 1].[Date].[All]" allUniqueName="[Range 1].[Date].[All]" dimensionUniqueName="[Range 1]" displayFolder="" count="0" memberValueDatatype="7" unbalanced="0"/>
    <cacheHierarchy uniqueName="[Range 1].[Product]" caption="Product" attribute="1" defaultMemberUniqueName="[Range 1].[Product].[All]" allUniqueName="[Range 1].[Product].[All]" dimensionUniqueName="[Range 1]" displayFolder="" count="0" memberValueDatatype="130" unbalanced="0"/>
    <cacheHierarchy uniqueName="[Range 1].[Category]" caption="Category" attribute="1" defaultMemberUniqueName="[Range 1].[Category].[All]" allUniqueName="[Range 1].[Category].[All]" dimensionUniqueName="[Range 1]" displayFolder="" count="0" memberValueDatatype="130" unbalanced="0"/>
    <cacheHierarchy uniqueName="[Range 1].[Price]" caption="Price" attribute="1" defaultMemberUniqueName="[Range 1].[Price].[All]" allUniqueName="[Range 1].[Price].[All]" dimensionUniqueName="[Range 1]" displayFolder="" count="0" memberValueDatatype="20" unbalanced="0"/>
    <cacheHierarchy uniqueName="[Range 1].[Quantity]" caption="Quantity" attribute="1" defaultMemberUniqueName="[Range 1].[Quantity].[All]" allUniqueName="[Range 1].[Quantity].[All]" dimensionUniqueName="[Range 1]" displayFolder="" count="0" memberValueDatatype="20" unbalanced="0"/>
    <cacheHierarchy uniqueName="[Range 1].[Total Sales]" caption="Total Sales" attribute="1" defaultMemberUniqueName="[Range 1].[Total Sales].[All]" allUniqueName="[Range 1].[Total Sales].[All]" dimensionUniqueName="[Range 1]" displayFolder="" count="0" memberValueDatatype="20" unbalanced="0"/>
    <cacheHierarchy uniqueName="[Range 1].[Customer Name]" caption="Customer Name" attribute="1" defaultMemberUniqueName="[Range 1].[Customer Name].[All]" allUniqueName="[Range 1].[Customer Name].[All]" dimensionUniqueName="[Range 1]" displayFolder="" count="0" memberValueDatatype="130" unbalanced="0"/>
    <cacheHierarchy uniqueName="[Range 1].[Customer Location]" caption="Customer Location" attribute="1" defaultMemberUniqueName="[Range 1].[Customer Location].[All]" allUniqueName="[Range 1].[Customer Location].[All]" dimensionUniqueName="[Range 1]" displayFolder="" count="0" memberValueDatatype="130" unbalanced="0"/>
    <cacheHierarchy uniqueName="[Range 1].[Payment Method]" caption="Payment Method" attribute="1" defaultMemberUniqueName="[Range 1].[Payment Method].[All]" allUniqueName="[Range 1].[Payment Method].[All]" dimensionUniqueName="[Range 1]" displayFolder="" count="0" memberValueDatatype="130" unbalanced="0"/>
    <cacheHierarchy uniqueName="[Range 1].[Status]" caption="Status" attribute="1" defaultMemberUniqueName="[Range 1].[Status].[All]" allUniqueName="[Range 1].[Status].[All]" dimensionUniqueName="[Range 1]" displayFolder="" count="0" memberValueDatatype="130" unbalanced="0"/>
    <cacheHierarchy uniqueName="[Range 1].[Month]" caption="Month" attribute="1" defaultMemberUniqueName="[Range 1].[Month].[All]" allUniqueName="[Range 1].[Month].[All]" dimensionUniqueName="[Range 1]" displayFolder="" count="0" memberValueDatatype="130" unbalanced="0"/>
    <cacheHierarchy uniqueName="[Range 1].[week from date]" caption="week from date" attribute="1" defaultMemberUniqueName="[Range 1].[week from date].[All]" allUniqueName="[Range 1].[week from date].[All]" dimensionUniqueName="[Range 1]"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Total Sales]" caption="Sum of Total Sales" measure="1" displayFolder="" measureGroup="Range" count="0" oneField="1" hidden="1">
      <fieldsUsage count="1">
        <fieldUsage x="1"/>
      </fieldsUsage>
      <extLst>
        <ext xmlns:x15="http://schemas.microsoft.com/office/spreadsheetml/2010/11/main" uri="{B97F6D7D-B522-45F9-BDA1-12C45D357490}">
          <x15:cacheHierarchy aggregatedColumn="6"/>
        </ext>
      </extLst>
    </cacheHierarchy>
    <cacheHierarchy uniqueName="[Measures].[Sum of Price]" caption="Sum of Price" measure="1" displayFolder="" measureGroup="Range"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Range"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Range" count="0" hidden="1">
      <extLst>
        <ext xmlns:x15="http://schemas.microsoft.com/office/spreadsheetml/2010/11/main" uri="{B97F6D7D-B522-45F9-BDA1-12C45D357490}">
          <x15:cacheHierarchy aggregatedColumn="7"/>
        </ext>
      </extLst>
    </cacheHierarchy>
    <cacheHierarchy uniqueName="[Measures].[Sum of Quantity]" caption="Sum of Quantity" measure="1" displayFolder="" measureGroup="Range" count="0" hidden="1">
      <extLst>
        <ext xmlns:x15="http://schemas.microsoft.com/office/spreadsheetml/2010/11/main" uri="{B97F6D7D-B522-45F9-BDA1-12C45D357490}">
          <x15:cacheHierarchy aggregatedColumn="5"/>
        </ext>
      </extLst>
    </cacheHierarchy>
    <cacheHierarchy uniqueName="[Measures].[Sum of Total Sales 2]" caption="Sum of Total Sales 2" measure="1" displayFolder="" measureGroup="Range 1" count="0" hidden="1">
      <extLst>
        <ext xmlns:x15="http://schemas.microsoft.com/office/spreadsheetml/2010/11/main" uri="{B97F6D7D-B522-45F9-BDA1-12C45D357490}">
          <x15:cacheHierarchy aggregatedColumn="19"/>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lasam praveen" refreshedDate="45813.890845138892" backgroundQuery="1" createdVersion="8" refreshedVersion="8" minRefreshableVersion="3" recordCount="0" supportSubquery="1" supportAdvancedDrill="1" xr:uid="{90970FA2-FC12-4C8E-A678-15880DEB904A}">
  <cacheSource type="external" connectionId="1"/>
  <cacheFields count="2">
    <cacheField name="[Measures].[Sum of Price]" caption="Sum of Price" numFmtId="0" hierarchy="31" level="32767"/>
    <cacheField name="[Range].[Month].[Month]" caption="Month" numFmtId="0" hierarchy="11" level="1">
      <sharedItems containsSemiMixedTypes="0" containsNonDate="0" containsString="0"/>
    </cacheField>
  </cacheFields>
  <cacheHierarchies count="36">
    <cacheHierarchy uniqueName="[Range].[Order ID]" caption="Order ID" attribute="1" defaultMemberUniqueName="[Range].[Order ID].[All]" allUniqueName="[Range].[Order ID].[All]" dimensionUniqueName="[Range]" displayFolder="" count="0" memberValueDatatype="130" unbalanced="0"/>
    <cacheHierarchy uniqueName="[Range].[Date]" caption="Date" attribute="1" time="1" defaultMemberUniqueName="[Range].[Date].[All]" allUniqueName="[Range].[Date].[All]" dimensionUniqueName="[Range]" displayFolder="" count="0" memberValueDatatype="7"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cacheHierarchy uniqueName="[Range].[Price]" caption="Price" attribute="1" defaultMemberUniqueName="[Range].[Price].[All]" allUniqueName="[Range].[Price].[All]" dimensionUniqueName="[Range]" displayFolder="" count="0" memberValueDatatype="20" unbalanced="0"/>
    <cacheHierarchy uniqueName="[Range].[Quantity]" caption="Quantity" attribute="1" defaultMemberUniqueName="[Range].[Quantity].[All]" allUniqueName="[Range].[Quantity].[All]" dimensionUniqueName="[Range]" displayFolder="" count="0" memberValueDatatype="20" unbalanced="0"/>
    <cacheHierarchy uniqueName="[Range].[Total Sales]" caption="Total Sales" attribute="1" defaultMemberUniqueName="[Range].[Total Sales].[All]" allUniqueName="[Range].[Total Sales].[All]" dimensionUniqueName="[Range]" displayFolder="" count="0" memberValueDatatype="20" unbalanced="0"/>
    <cacheHierarchy uniqueName="[Range].[Customer Name]" caption="Customer Name" attribute="1" defaultMemberUniqueName="[Range].[Customer Name].[All]" allUniqueName="[Range].[Customer Name].[All]" dimensionUniqueName="[Range]" displayFolder="" count="0" memberValueDatatype="130" unbalanced="0"/>
    <cacheHierarchy uniqueName="[Range].[Customer Location]" caption="Customer Location" attribute="1" defaultMemberUniqueName="[Range].[Customer Location].[All]" allUniqueName="[Range].[Customer Location].[All]" dimensionUniqueName="[Range]" displayFolder="" count="0" memberValueDatatype="130" unbalanced="0"/>
    <cacheHierarchy uniqueName="[Range].[Payment Method]" caption="Payment Method" attribute="1" defaultMemberUniqueName="[Range].[Payment Method].[All]" allUniqueName="[Range].[Payment Method].[All]" dimensionUniqueName="[Range]" displayFolder="" count="0" memberValueDatatype="130" unbalanced="0"/>
    <cacheHierarchy uniqueName="[Range].[Status]" caption="Status" attribute="1" defaultMemberUniqueName="[Range].[Status].[All]" allUniqueName="[Range].[Status].[All]" dimensionUniqueName="[Range]" displayFolder="" count="0" memberValueDatatype="130" unbalanced="0"/>
    <cacheHierarchy uniqueName="[Range].[Month]" caption="Month" attribute="1" defaultMemberUniqueName="[Range].[Month].[All]" allUniqueName="[Range].[Month].[All]" dimensionUniqueName="[Range]" displayFolder="" count="2" memberValueDatatype="130" unbalanced="0">
      <fieldsUsage count="2">
        <fieldUsage x="-1"/>
        <fieldUsage x="1"/>
      </fieldsUsage>
    </cacheHierarchy>
    <cacheHierarchy uniqueName="[Range].[Date (Month)]" caption="Date (Month)" attribute="1" defaultMemberUniqueName="[Range].[Date (Month)].[All]" allUniqueName="[Range].[Date (Month)].[All]" dimensionUniqueName="[Range]" displayFolder="" count="0" memberValueDatatype="130" unbalanced="0"/>
    <cacheHierarchy uniqueName="[Range 1].[Order ID]" caption="Order ID" attribute="1" defaultMemberUniqueName="[Range 1].[Order ID].[All]" allUniqueName="[Range 1].[Order ID].[All]" dimensionUniqueName="[Range 1]" displayFolder="" count="0" memberValueDatatype="130" unbalanced="0"/>
    <cacheHierarchy uniqueName="[Range 1].[Date]" caption="Date" attribute="1" time="1" defaultMemberUniqueName="[Range 1].[Date].[All]" allUniqueName="[Range 1].[Date].[All]" dimensionUniqueName="[Range 1]" displayFolder="" count="0" memberValueDatatype="7" unbalanced="0"/>
    <cacheHierarchy uniqueName="[Range 1].[Product]" caption="Product" attribute="1" defaultMemberUniqueName="[Range 1].[Product].[All]" allUniqueName="[Range 1].[Product].[All]" dimensionUniqueName="[Range 1]" displayFolder="" count="0" memberValueDatatype="130" unbalanced="0"/>
    <cacheHierarchy uniqueName="[Range 1].[Category]" caption="Category" attribute="1" defaultMemberUniqueName="[Range 1].[Category].[All]" allUniqueName="[Range 1].[Category].[All]" dimensionUniqueName="[Range 1]" displayFolder="" count="0" memberValueDatatype="130" unbalanced="0"/>
    <cacheHierarchy uniqueName="[Range 1].[Price]" caption="Price" attribute="1" defaultMemberUniqueName="[Range 1].[Price].[All]" allUniqueName="[Range 1].[Price].[All]" dimensionUniqueName="[Range 1]" displayFolder="" count="0" memberValueDatatype="20" unbalanced="0"/>
    <cacheHierarchy uniqueName="[Range 1].[Quantity]" caption="Quantity" attribute="1" defaultMemberUniqueName="[Range 1].[Quantity].[All]" allUniqueName="[Range 1].[Quantity].[All]" dimensionUniqueName="[Range 1]" displayFolder="" count="0" memberValueDatatype="20" unbalanced="0"/>
    <cacheHierarchy uniqueName="[Range 1].[Total Sales]" caption="Total Sales" attribute="1" defaultMemberUniqueName="[Range 1].[Total Sales].[All]" allUniqueName="[Range 1].[Total Sales].[All]" dimensionUniqueName="[Range 1]" displayFolder="" count="0" memberValueDatatype="20" unbalanced="0"/>
    <cacheHierarchy uniqueName="[Range 1].[Customer Name]" caption="Customer Name" attribute="1" defaultMemberUniqueName="[Range 1].[Customer Name].[All]" allUniqueName="[Range 1].[Customer Name].[All]" dimensionUniqueName="[Range 1]" displayFolder="" count="0" memberValueDatatype="130" unbalanced="0"/>
    <cacheHierarchy uniqueName="[Range 1].[Customer Location]" caption="Customer Location" attribute="1" defaultMemberUniqueName="[Range 1].[Customer Location].[All]" allUniqueName="[Range 1].[Customer Location].[All]" dimensionUniqueName="[Range 1]" displayFolder="" count="0" memberValueDatatype="130" unbalanced="0"/>
    <cacheHierarchy uniqueName="[Range 1].[Payment Method]" caption="Payment Method" attribute="1" defaultMemberUniqueName="[Range 1].[Payment Method].[All]" allUniqueName="[Range 1].[Payment Method].[All]" dimensionUniqueName="[Range 1]" displayFolder="" count="0" memberValueDatatype="130" unbalanced="0"/>
    <cacheHierarchy uniqueName="[Range 1].[Status]" caption="Status" attribute="1" defaultMemberUniqueName="[Range 1].[Status].[All]" allUniqueName="[Range 1].[Status].[All]" dimensionUniqueName="[Range 1]" displayFolder="" count="0" memberValueDatatype="130" unbalanced="0"/>
    <cacheHierarchy uniqueName="[Range 1].[Month]" caption="Month" attribute="1" defaultMemberUniqueName="[Range 1].[Month].[All]" allUniqueName="[Range 1].[Month].[All]" dimensionUniqueName="[Range 1]" displayFolder="" count="0" memberValueDatatype="130" unbalanced="0"/>
    <cacheHierarchy uniqueName="[Range 1].[week from date]" caption="week from date" attribute="1" defaultMemberUniqueName="[Range 1].[week from date].[All]" allUniqueName="[Range 1].[week from date].[All]" dimensionUniqueName="[Range 1]"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Total Sales]" caption="Sum of Total Sales" measure="1" displayFolder="" measureGroup="Range"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Range" count="0" oneField="1" hidden="1">
      <fieldsUsage count="1">
        <fieldUsage x="0"/>
      </fieldsUsage>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Range"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Range" count="0" hidden="1">
      <extLst>
        <ext xmlns:x15="http://schemas.microsoft.com/office/spreadsheetml/2010/11/main" uri="{B97F6D7D-B522-45F9-BDA1-12C45D357490}">
          <x15:cacheHierarchy aggregatedColumn="7"/>
        </ext>
      </extLst>
    </cacheHierarchy>
    <cacheHierarchy uniqueName="[Measures].[Sum of Quantity]" caption="Sum of Quantity" measure="1" displayFolder="" measureGroup="Range" count="0" hidden="1">
      <extLst>
        <ext xmlns:x15="http://schemas.microsoft.com/office/spreadsheetml/2010/11/main" uri="{B97F6D7D-B522-45F9-BDA1-12C45D357490}">
          <x15:cacheHierarchy aggregatedColumn="5"/>
        </ext>
      </extLst>
    </cacheHierarchy>
    <cacheHierarchy uniqueName="[Measures].[Sum of Total Sales 2]" caption="Sum of Total Sales 2" measure="1" displayFolder="" measureGroup="Range 1" count="0" hidden="1">
      <extLst>
        <ext xmlns:x15="http://schemas.microsoft.com/office/spreadsheetml/2010/11/main" uri="{B97F6D7D-B522-45F9-BDA1-12C45D357490}">
          <x15:cacheHierarchy aggregatedColumn="19"/>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lasam praveen" refreshedDate="45813.89084537037" backgroundQuery="1" createdVersion="8" refreshedVersion="8" minRefreshableVersion="3" recordCount="0" supportSubquery="1" supportAdvancedDrill="1" xr:uid="{0AFB1B61-DF80-4408-A5C0-0C67356FE297}">
  <cacheSource type="external" connectionId="1"/>
  <cacheFields count="2">
    <cacheField name="[Measures].[Distinct Count of Customer Name]" caption="Distinct Count of Customer Name" numFmtId="0" hierarchy="33" level="32767"/>
    <cacheField name="[Range].[Month].[Month]" caption="Month" numFmtId="0" hierarchy="11" level="1">
      <sharedItems containsSemiMixedTypes="0" containsNonDate="0" containsString="0"/>
    </cacheField>
  </cacheFields>
  <cacheHierarchies count="36">
    <cacheHierarchy uniqueName="[Range].[Order ID]" caption="Order ID" attribute="1" defaultMemberUniqueName="[Range].[Order ID].[All]" allUniqueName="[Range].[Order ID].[All]" dimensionUniqueName="[Range]" displayFolder="" count="0" memberValueDatatype="130" unbalanced="0"/>
    <cacheHierarchy uniqueName="[Range].[Date]" caption="Date" attribute="1" time="1" defaultMemberUniqueName="[Range].[Date].[All]" allUniqueName="[Range].[Date].[All]" dimensionUniqueName="[Range]" displayFolder="" count="0" memberValueDatatype="7"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cacheHierarchy uniqueName="[Range].[Price]" caption="Price" attribute="1" defaultMemberUniqueName="[Range].[Price].[All]" allUniqueName="[Range].[Price].[All]" dimensionUniqueName="[Range]" displayFolder="" count="0" memberValueDatatype="20" unbalanced="0"/>
    <cacheHierarchy uniqueName="[Range].[Quantity]" caption="Quantity" attribute="1" defaultMemberUniqueName="[Range].[Quantity].[All]" allUniqueName="[Range].[Quantity].[All]" dimensionUniqueName="[Range]" displayFolder="" count="0" memberValueDatatype="20" unbalanced="0"/>
    <cacheHierarchy uniqueName="[Range].[Total Sales]" caption="Total Sales" attribute="1" defaultMemberUniqueName="[Range].[Total Sales].[All]" allUniqueName="[Range].[Total Sales].[All]" dimensionUniqueName="[Range]" displayFolder="" count="0" memberValueDatatype="20" unbalanced="0"/>
    <cacheHierarchy uniqueName="[Range].[Customer Name]" caption="Customer Name" attribute="1" defaultMemberUniqueName="[Range].[Customer Name].[All]" allUniqueName="[Range].[Customer Name].[All]" dimensionUniqueName="[Range]" displayFolder="" count="0" memberValueDatatype="130" unbalanced="0"/>
    <cacheHierarchy uniqueName="[Range].[Customer Location]" caption="Customer Location" attribute="1" defaultMemberUniqueName="[Range].[Customer Location].[All]" allUniqueName="[Range].[Customer Location].[All]" dimensionUniqueName="[Range]" displayFolder="" count="0" memberValueDatatype="130" unbalanced="0"/>
    <cacheHierarchy uniqueName="[Range].[Payment Method]" caption="Payment Method" attribute="1" defaultMemberUniqueName="[Range].[Payment Method].[All]" allUniqueName="[Range].[Payment Method].[All]" dimensionUniqueName="[Range]" displayFolder="" count="0" memberValueDatatype="130" unbalanced="0"/>
    <cacheHierarchy uniqueName="[Range].[Status]" caption="Status" attribute="1" defaultMemberUniqueName="[Range].[Status].[All]" allUniqueName="[Range].[Status].[All]" dimensionUniqueName="[Range]" displayFolder="" count="0" memberValueDatatype="130" unbalanced="0"/>
    <cacheHierarchy uniqueName="[Range].[Month]" caption="Month" attribute="1" defaultMemberUniqueName="[Range].[Month].[All]" allUniqueName="[Range].[Month].[All]" dimensionUniqueName="[Range]" displayFolder="" count="2" memberValueDatatype="130" unbalanced="0">
      <fieldsUsage count="2">
        <fieldUsage x="-1"/>
        <fieldUsage x="1"/>
      </fieldsUsage>
    </cacheHierarchy>
    <cacheHierarchy uniqueName="[Range].[Date (Month)]" caption="Date (Month)" attribute="1" defaultMemberUniqueName="[Range].[Date (Month)].[All]" allUniqueName="[Range].[Date (Month)].[All]" dimensionUniqueName="[Range]" displayFolder="" count="0" memberValueDatatype="130" unbalanced="0"/>
    <cacheHierarchy uniqueName="[Range 1].[Order ID]" caption="Order ID" attribute="1" defaultMemberUniqueName="[Range 1].[Order ID].[All]" allUniqueName="[Range 1].[Order ID].[All]" dimensionUniqueName="[Range 1]" displayFolder="" count="0" memberValueDatatype="130" unbalanced="0"/>
    <cacheHierarchy uniqueName="[Range 1].[Date]" caption="Date" attribute="1" time="1" defaultMemberUniqueName="[Range 1].[Date].[All]" allUniqueName="[Range 1].[Date].[All]" dimensionUniqueName="[Range 1]" displayFolder="" count="0" memberValueDatatype="7" unbalanced="0"/>
    <cacheHierarchy uniqueName="[Range 1].[Product]" caption="Product" attribute="1" defaultMemberUniqueName="[Range 1].[Product].[All]" allUniqueName="[Range 1].[Product].[All]" dimensionUniqueName="[Range 1]" displayFolder="" count="0" memberValueDatatype="130" unbalanced="0"/>
    <cacheHierarchy uniqueName="[Range 1].[Category]" caption="Category" attribute="1" defaultMemberUniqueName="[Range 1].[Category].[All]" allUniqueName="[Range 1].[Category].[All]" dimensionUniqueName="[Range 1]" displayFolder="" count="0" memberValueDatatype="130" unbalanced="0"/>
    <cacheHierarchy uniqueName="[Range 1].[Price]" caption="Price" attribute="1" defaultMemberUniqueName="[Range 1].[Price].[All]" allUniqueName="[Range 1].[Price].[All]" dimensionUniqueName="[Range 1]" displayFolder="" count="0" memberValueDatatype="20" unbalanced="0"/>
    <cacheHierarchy uniqueName="[Range 1].[Quantity]" caption="Quantity" attribute="1" defaultMemberUniqueName="[Range 1].[Quantity].[All]" allUniqueName="[Range 1].[Quantity].[All]" dimensionUniqueName="[Range 1]" displayFolder="" count="0" memberValueDatatype="20" unbalanced="0"/>
    <cacheHierarchy uniqueName="[Range 1].[Total Sales]" caption="Total Sales" attribute="1" defaultMemberUniqueName="[Range 1].[Total Sales].[All]" allUniqueName="[Range 1].[Total Sales].[All]" dimensionUniqueName="[Range 1]" displayFolder="" count="0" memberValueDatatype="20" unbalanced="0"/>
    <cacheHierarchy uniqueName="[Range 1].[Customer Name]" caption="Customer Name" attribute="1" defaultMemberUniqueName="[Range 1].[Customer Name].[All]" allUniqueName="[Range 1].[Customer Name].[All]" dimensionUniqueName="[Range 1]" displayFolder="" count="0" memberValueDatatype="130" unbalanced="0"/>
    <cacheHierarchy uniqueName="[Range 1].[Customer Location]" caption="Customer Location" attribute="1" defaultMemberUniqueName="[Range 1].[Customer Location].[All]" allUniqueName="[Range 1].[Customer Location].[All]" dimensionUniqueName="[Range 1]" displayFolder="" count="0" memberValueDatatype="130" unbalanced="0"/>
    <cacheHierarchy uniqueName="[Range 1].[Payment Method]" caption="Payment Method" attribute="1" defaultMemberUniqueName="[Range 1].[Payment Method].[All]" allUniqueName="[Range 1].[Payment Method].[All]" dimensionUniqueName="[Range 1]" displayFolder="" count="0" memberValueDatatype="130" unbalanced="0"/>
    <cacheHierarchy uniqueName="[Range 1].[Status]" caption="Status" attribute="1" defaultMemberUniqueName="[Range 1].[Status].[All]" allUniqueName="[Range 1].[Status].[All]" dimensionUniqueName="[Range 1]" displayFolder="" count="0" memberValueDatatype="130" unbalanced="0"/>
    <cacheHierarchy uniqueName="[Range 1].[Month]" caption="Month" attribute="1" defaultMemberUniqueName="[Range 1].[Month].[All]" allUniqueName="[Range 1].[Month].[All]" dimensionUniqueName="[Range 1]" displayFolder="" count="0" memberValueDatatype="130" unbalanced="0"/>
    <cacheHierarchy uniqueName="[Range 1].[week from date]" caption="week from date" attribute="1" defaultMemberUniqueName="[Range 1].[week from date].[All]" allUniqueName="[Range 1].[week from date].[All]" dimensionUniqueName="[Range 1]"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Total Sales]" caption="Sum of Total Sales" measure="1" displayFolder="" measureGroup="Range"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Range"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Range"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Range" count="0" oneField="1" hidden="1">
      <fieldsUsage count="1">
        <fieldUsage x="0"/>
      </fieldsUsage>
      <extLst>
        <ext xmlns:x15="http://schemas.microsoft.com/office/spreadsheetml/2010/11/main" uri="{B97F6D7D-B522-45F9-BDA1-12C45D357490}">
          <x15:cacheHierarchy aggregatedColumn="7"/>
        </ext>
      </extLst>
    </cacheHierarchy>
    <cacheHierarchy uniqueName="[Measures].[Sum of Quantity]" caption="Sum of Quantity" measure="1" displayFolder="" measureGroup="Range" count="0" hidden="1">
      <extLst>
        <ext xmlns:x15="http://schemas.microsoft.com/office/spreadsheetml/2010/11/main" uri="{B97F6D7D-B522-45F9-BDA1-12C45D357490}">
          <x15:cacheHierarchy aggregatedColumn="5"/>
        </ext>
      </extLst>
    </cacheHierarchy>
    <cacheHierarchy uniqueName="[Measures].[Sum of Total Sales 2]" caption="Sum of Total Sales 2" measure="1" displayFolder="" measureGroup="Range 1" count="0" hidden="1">
      <extLst>
        <ext xmlns:x15="http://schemas.microsoft.com/office/spreadsheetml/2010/11/main" uri="{B97F6D7D-B522-45F9-BDA1-12C45D357490}">
          <x15:cacheHierarchy aggregatedColumn="19"/>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lasam praveen" refreshedDate="45813.890845717593" backgroundQuery="1" createdVersion="8" refreshedVersion="8" minRefreshableVersion="3" recordCount="0" supportSubquery="1" supportAdvancedDrill="1" xr:uid="{5C8CF816-61E1-414E-856A-5A57E8A715DE}">
  <cacheSource type="external" connectionId="1"/>
  <cacheFields count="3">
    <cacheField name="[Measures].[Sum of Total Sales]" caption="Sum of Total Sales" numFmtId="0" hierarchy="30" level="32767"/>
    <cacheField name="[Range].[Customer Name].[Customer Name]" caption="Customer Name" numFmtId="0" hierarchy="7" level="1">
      <sharedItems count="10">
        <s v="Chris White"/>
        <s v="Daniel Harris"/>
        <s v="David Lee"/>
        <s v="Emily Johnson"/>
        <s v="Emma Clark"/>
        <s v="Jane Smith"/>
        <s v="John Doe"/>
        <s v="Michael Brown"/>
        <s v="Olivia Wilson"/>
        <s v="Sophia Miller"/>
      </sharedItems>
    </cacheField>
    <cacheField name="[Range].[Month].[Month]" caption="Month" numFmtId="0" hierarchy="11" level="1">
      <sharedItems containsSemiMixedTypes="0" containsNonDate="0" containsString="0"/>
    </cacheField>
  </cacheFields>
  <cacheHierarchies count="36">
    <cacheHierarchy uniqueName="[Range].[Order ID]" caption="Order ID" attribute="1" defaultMemberUniqueName="[Range].[Order ID].[All]" allUniqueName="[Range].[Order ID].[All]" dimensionUniqueName="[Range]" displayFolder="" count="0" memberValueDatatype="130" unbalanced="0"/>
    <cacheHierarchy uniqueName="[Range].[Date]" caption="Date" attribute="1" time="1" defaultMemberUniqueName="[Range].[Date].[All]" allUniqueName="[Range].[Date].[All]" dimensionUniqueName="[Range]" displayFolder="" count="0" memberValueDatatype="7"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cacheHierarchy uniqueName="[Range].[Price]" caption="Price" attribute="1" defaultMemberUniqueName="[Range].[Price].[All]" allUniqueName="[Range].[Price].[All]" dimensionUniqueName="[Range]" displayFolder="" count="0" memberValueDatatype="20" unbalanced="0"/>
    <cacheHierarchy uniqueName="[Range].[Quantity]" caption="Quantity" attribute="1" defaultMemberUniqueName="[Range].[Quantity].[All]" allUniqueName="[Range].[Quantity].[All]" dimensionUniqueName="[Range]" displayFolder="" count="0" memberValueDatatype="20" unbalanced="0"/>
    <cacheHierarchy uniqueName="[Range].[Total Sales]" caption="Total Sales" attribute="1" defaultMemberUniqueName="[Range].[Total Sales].[All]" allUniqueName="[Range].[Total Sales].[All]" dimensionUniqueName="[Range]" displayFolder="" count="0" memberValueDatatype="20" unbalanced="0"/>
    <cacheHierarchy uniqueName="[Range].[Customer Name]" caption="Customer Name" attribute="1" defaultMemberUniqueName="[Range].[Customer Name].[All]" allUniqueName="[Range].[Customer Name].[All]" dimensionUniqueName="[Range]" displayFolder="" count="2" memberValueDatatype="130" unbalanced="0">
      <fieldsUsage count="2">
        <fieldUsage x="-1"/>
        <fieldUsage x="1"/>
      </fieldsUsage>
    </cacheHierarchy>
    <cacheHierarchy uniqueName="[Range].[Customer Location]" caption="Customer Location" attribute="1" defaultMemberUniqueName="[Range].[Customer Location].[All]" allUniqueName="[Range].[Customer Location].[All]" dimensionUniqueName="[Range]" displayFolder="" count="0" memberValueDatatype="130" unbalanced="0"/>
    <cacheHierarchy uniqueName="[Range].[Payment Method]" caption="Payment Method" attribute="1" defaultMemberUniqueName="[Range].[Payment Method].[All]" allUniqueName="[Range].[Payment Method].[All]" dimensionUniqueName="[Range]" displayFolder="" count="0" memberValueDatatype="130" unbalanced="0"/>
    <cacheHierarchy uniqueName="[Range].[Status]" caption="Status" attribute="1" defaultMemberUniqueName="[Range].[Status].[All]" allUniqueName="[Range].[Status].[All]" dimensionUniqueName="[Range]" displayFolder="" count="0" memberValueDatatype="130" unbalanced="0"/>
    <cacheHierarchy uniqueName="[Range].[Month]" caption="Month" attribute="1" defaultMemberUniqueName="[Range].[Month].[All]" allUniqueName="[Range].[Month].[All]" dimensionUniqueName="[Range]" displayFolder="" count="2" memberValueDatatype="130" unbalanced="0">
      <fieldsUsage count="2">
        <fieldUsage x="-1"/>
        <fieldUsage x="2"/>
      </fieldsUsage>
    </cacheHierarchy>
    <cacheHierarchy uniqueName="[Range].[Date (Month)]" caption="Date (Month)" attribute="1" defaultMemberUniqueName="[Range].[Date (Month)].[All]" allUniqueName="[Range].[Date (Month)].[All]" dimensionUniqueName="[Range]" displayFolder="" count="0" memberValueDatatype="130" unbalanced="0"/>
    <cacheHierarchy uniqueName="[Range 1].[Order ID]" caption="Order ID" attribute="1" defaultMemberUniqueName="[Range 1].[Order ID].[All]" allUniqueName="[Range 1].[Order ID].[All]" dimensionUniqueName="[Range 1]" displayFolder="" count="0" memberValueDatatype="130" unbalanced="0"/>
    <cacheHierarchy uniqueName="[Range 1].[Date]" caption="Date" attribute="1" time="1" defaultMemberUniqueName="[Range 1].[Date].[All]" allUniqueName="[Range 1].[Date].[All]" dimensionUniqueName="[Range 1]" displayFolder="" count="0" memberValueDatatype="7" unbalanced="0"/>
    <cacheHierarchy uniqueName="[Range 1].[Product]" caption="Product" attribute="1" defaultMemberUniqueName="[Range 1].[Product].[All]" allUniqueName="[Range 1].[Product].[All]" dimensionUniqueName="[Range 1]" displayFolder="" count="0" memberValueDatatype="130" unbalanced="0"/>
    <cacheHierarchy uniqueName="[Range 1].[Category]" caption="Category" attribute="1" defaultMemberUniqueName="[Range 1].[Category].[All]" allUniqueName="[Range 1].[Category].[All]" dimensionUniqueName="[Range 1]" displayFolder="" count="0" memberValueDatatype="130" unbalanced="0"/>
    <cacheHierarchy uniqueName="[Range 1].[Price]" caption="Price" attribute="1" defaultMemberUniqueName="[Range 1].[Price].[All]" allUniqueName="[Range 1].[Price].[All]" dimensionUniqueName="[Range 1]" displayFolder="" count="0" memberValueDatatype="20" unbalanced="0"/>
    <cacheHierarchy uniqueName="[Range 1].[Quantity]" caption="Quantity" attribute="1" defaultMemberUniqueName="[Range 1].[Quantity].[All]" allUniqueName="[Range 1].[Quantity].[All]" dimensionUniqueName="[Range 1]" displayFolder="" count="0" memberValueDatatype="20" unbalanced="0"/>
    <cacheHierarchy uniqueName="[Range 1].[Total Sales]" caption="Total Sales" attribute="1" defaultMemberUniqueName="[Range 1].[Total Sales].[All]" allUniqueName="[Range 1].[Total Sales].[All]" dimensionUniqueName="[Range 1]" displayFolder="" count="0" memberValueDatatype="20" unbalanced="0"/>
    <cacheHierarchy uniqueName="[Range 1].[Customer Name]" caption="Customer Name" attribute="1" defaultMemberUniqueName="[Range 1].[Customer Name].[All]" allUniqueName="[Range 1].[Customer Name].[All]" dimensionUniqueName="[Range 1]" displayFolder="" count="0" memberValueDatatype="130" unbalanced="0"/>
    <cacheHierarchy uniqueName="[Range 1].[Customer Location]" caption="Customer Location" attribute="1" defaultMemberUniqueName="[Range 1].[Customer Location].[All]" allUniqueName="[Range 1].[Customer Location].[All]" dimensionUniqueName="[Range 1]" displayFolder="" count="0" memberValueDatatype="130" unbalanced="0"/>
    <cacheHierarchy uniqueName="[Range 1].[Payment Method]" caption="Payment Method" attribute="1" defaultMemberUniqueName="[Range 1].[Payment Method].[All]" allUniqueName="[Range 1].[Payment Method].[All]" dimensionUniqueName="[Range 1]" displayFolder="" count="0" memberValueDatatype="130" unbalanced="0"/>
    <cacheHierarchy uniqueName="[Range 1].[Status]" caption="Status" attribute="1" defaultMemberUniqueName="[Range 1].[Status].[All]" allUniqueName="[Range 1].[Status].[All]" dimensionUniqueName="[Range 1]" displayFolder="" count="0" memberValueDatatype="130" unbalanced="0"/>
    <cacheHierarchy uniqueName="[Range 1].[Month]" caption="Month" attribute="1" defaultMemberUniqueName="[Range 1].[Month].[All]" allUniqueName="[Range 1].[Month].[All]" dimensionUniqueName="[Range 1]" displayFolder="" count="0" memberValueDatatype="130" unbalanced="0"/>
    <cacheHierarchy uniqueName="[Range 1].[week from date]" caption="week from date" attribute="1" defaultMemberUniqueName="[Range 1].[week from date].[All]" allUniqueName="[Range 1].[week from date].[All]" dimensionUniqueName="[Range 1]"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Total Sales]" caption="Sum of Total Sales" measure="1" displayFolder="" measureGroup="Range" count="0" oneField="1" hidden="1">
      <fieldsUsage count="1">
        <fieldUsage x="0"/>
      </fieldsUsage>
      <extLst>
        <ext xmlns:x15="http://schemas.microsoft.com/office/spreadsheetml/2010/11/main" uri="{B97F6D7D-B522-45F9-BDA1-12C45D357490}">
          <x15:cacheHierarchy aggregatedColumn="6"/>
        </ext>
      </extLst>
    </cacheHierarchy>
    <cacheHierarchy uniqueName="[Measures].[Sum of Price]" caption="Sum of Price" measure="1" displayFolder="" measureGroup="Range"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Range"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Range" count="0" hidden="1">
      <extLst>
        <ext xmlns:x15="http://schemas.microsoft.com/office/spreadsheetml/2010/11/main" uri="{B97F6D7D-B522-45F9-BDA1-12C45D357490}">
          <x15:cacheHierarchy aggregatedColumn="7"/>
        </ext>
      </extLst>
    </cacheHierarchy>
    <cacheHierarchy uniqueName="[Measures].[Sum of Quantity]" caption="Sum of Quantity" measure="1" displayFolder="" measureGroup="Range" count="0" hidden="1">
      <extLst>
        <ext xmlns:x15="http://schemas.microsoft.com/office/spreadsheetml/2010/11/main" uri="{B97F6D7D-B522-45F9-BDA1-12C45D357490}">
          <x15:cacheHierarchy aggregatedColumn="5"/>
        </ext>
      </extLst>
    </cacheHierarchy>
    <cacheHierarchy uniqueName="[Measures].[Sum of Total Sales 2]" caption="Sum of Total Sales 2" measure="1" displayFolder="" measureGroup="Range 1" count="0" hidden="1">
      <extLst>
        <ext xmlns:x15="http://schemas.microsoft.com/office/spreadsheetml/2010/11/main" uri="{B97F6D7D-B522-45F9-BDA1-12C45D357490}">
          <x15:cacheHierarchy aggregatedColumn="19"/>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lasam praveen" refreshedDate="45813.890846180555" backgroundQuery="1" createdVersion="8" refreshedVersion="8" minRefreshableVersion="3" recordCount="0" supportSubquery="1" supportAdvancedDrill="1" xr:uid="{54DFA3AA-C821-49C7-B022-C79B0E508930}">
  <cacheSource type="external" connectionId="1"/>
  <cacheFields count="3">
    <cacheField name="[Measures].[Sum of Total Sales]" caption="Sum of Total Sales" numFmtId="0" hierarchy="30" level="32767"/>
    <cacheField name="[Range].[Category].[Category]" caption="Category" numFmtId="0" hierarchy="3" level="1">
      <sharedItems count="5">
        <s v="Books"/>
        <s v="Clothing"/>
        <s v="Electronics"/>
        <s v="Footwear"/>
        <s v="Home Appliances"/>
      </sharedItems>
    </cacheField>
    <cacheField name="[Range].[Month].[Month]" caption="Month" numFmtId="0" hierarchy="11" level="1">
      <sharedItems containsSemiMixedTypes="0" containsNonDate="0" containsString="0"/>
    </cacheField>
  </cacheFields>
  <cacheHierarchies count="36">
    <cacheHierarchy uniqueName="[Range].[Order ID]" caption="Order ID" attribute="1" defaultMemberUniqueName="[Range].[Order ID].[All]" allUniqueName="[Range].[Order ID].[All]" dimensionUniqueName="[Range]" displayFolder="" count="0" memberValueDatatype="130" unbalanced="0"/>
    <cacheHierarchy uniqueName="[Range].[Date]" caption="Date" attribute="1" time="1" defaultMemberUniqueName="[Range].[Date].[All]" allUniqueName="[Range].[Date].[All]" dimensionUniqueName="[Range]" displayFolder="" count="0" memberValueDatatype="7"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fieldsUsage count="2">
        <fieldUsage x="-1"/>
        <fieldUsage x="1"/>
      </fieldsUsage>
    </cacheHierarchy>
    <cacheHierarchy uniqueName="[Range].[Price]" caption="Price" attribute="1" defaultMemberUniqueName="[Range].[Price].[All]" allUniqueName="[Range].[Price].[All]" dimensionUniqueName="[Range]" displayFolder="" count="0" memberValueDatatype="20" unbalanced="0"/>
    <cacheHierarchy uniqueName="[Range].[Quantity]" caption="Quantity" attribute="1" defaultMemberUniqueName="[Range].[Quantity].[All]" allUniqueName="[Range].[Quantity].[All]" dimensionUniqueName="[Range]" displayFolder="" count="0" memberValueDatatype="20" unbalanced="0"/>
    <cacheHierarchy uniqueName="[Range].[Total Sales]" caption="Total Sales" attribute="1" defaultMemberUniqueName="[Range].[Total Sales].[All]" allUniqueName="[Range].[Total Sales].[All]" dimensionUniqueName="[Range]" displayFolder="" count="0" memberValueDatatype="20" unbalanced="0"/>
    <cacheHierarchy uniqueName="[Range].[Customer Name]" caption="Customer Name" attribute="1" defaultMemberUniqueName="[Range].[Customer Name].[All]" allUniqueName="[Range].[Customer Name].[All]" dimensionUniqueName="[Range]" displayFolder="" count="0" memberValueDatatype="130" unbalanced="0"/>
    <cacheHierarchy uniqueName="[Range].[Customer Location]" caption="Customer Location" attribute="1" defaultMemberUniqueName="[Range].[Customer Location].[All]" allUniqueName="[Range].[Customer Location].[All]" dimensionUniqueName="[Range]" displayFolder="" count="0" memberValueDatatype="130" unbalanced="0"/>
    <cacheHierarchy uniqueName="[Range].[Payment Method]" caption="Payment Method" attribute="1" defaultMemberUniqueName="[Range].[Payment Method].[All]" allUniqueName="[Range].[Payment Method].[All]" dimensionUniqueName="[Range]" displayFolder="" count="0" memberValueDatatype="130" unbalanced="0"/>
    <cacheHierarchy uniqueName="[Range].[Status]" caption="Status" attribute="1" defaultMemberUniqueName="[Range].[Status].[All]" allUniqueName="[Range].[Status].[All]" dimensionUniqueName="[Range]" displayFolder="" count="0" memberValueDatatype="130" unbalanced="0"/>
    <cacheHierarchy uniqueName="[Range].[Month]" caption="Month" attribute="1" defaultMemberUniqueName="[Range].[Month].[All]" allUniqueName="[Range].[Month].[All]" dimensionUniqueName="[Range]" displayFolder="" count="2" memberValueDatatype="130" unbalanced="0">
      <fieldsUsage count="2">
        <fieldUsage x="-1"/>
        <fieldUsage x="2"/>
      </fieldsUsage>
    </cacheHierarchy>
    <cacheHierarchy uniqueName="[Range].[Date (Month)]" caption="Date (Month)" attribute="1" defaultMemberUniqueName="[Range].[Date (Month)].[All]" allUniqueName="[Range].[Date (Month)].[All]" dimensionUniqueName="[Range]" displayFolder="" count="0" memberValueDatatype="130" unbalanced="0"/>
    <cacheHierarchy uniqueName="[Range 1].[Order ID]" caption="Order ID" attribute="1" defaultMemberUniqueName="[Range 1].[Order ID].[All]" allUniqueName="[Range 1].[Order ID].[All]" dimensionUniqueName="[Range 1]" displayFolder="" count="0" memberValueDatatype="130" unbalanced="0"/>
    <cacheHierarchy uniqueName="[Range 1].[Date]" caption="Date" attribute="1" time="1" defaultMemberUniqueName="[Range 1].[Date].[All]" allUniqueName="[Range 1].[Date].[All]" dimensionUniqueName="[Range 1]" displayFolder="" count="0" memberValueDatatype="7" unbalanced="0"/>
    <cacheHierarchy uniqueName="[Range 1].[Product]" caption="Product" attribute="1" defaultMemberUniqueName="[Range 1].[Product].[All]" allUniqueName="[Range 1].[Product].[All]" dimensionUniqueName="[Range 1]" displayFolder="" count="0" memberValueDatatype="130" unbalanced="0"/>
    <cacheHierarchy uniqueName="[Range 1].[Category]" caption="Category" attribute="1" defaultMemberUniqueName="[Range 1].[Category].[All]" allUniqueName="[Range 1].[Category].[All]" dimensionUniqueName="[Range 1]" displayFolder="" count="0" memberValueDatatype="130" unbalanced="0"/>
    <cacheHierarchy uniqueName="[Range 1].[Price]" caption="Price" attribute="1" defaultMemberUniqueName="[Range 1].[Price].[All]" allUniqueName="[Range 1].[Price].[All]" dimensionUniqueName="[Range 1]" displayFolder="" count="0" memberValueDatatype="20" unbalanced="0"/>
    <cacheHierarchy uniqueName="[Range 1].[Quantity]" caption="Quantity" attribute="1" defaultMemberUniqueName="[Range 1].[Quantity].[All]" allUniqueName="[Range 1].[Quantity].[All]" dimensionUniqueName="[Range 1]" displayFolder="" count="0" memberValueDatatype="20" unbalanced="0"/>
    <cacheHierarchy uniqueName="[Range 1].[Total Sales]" caption="Total Sales" attribute="1" defaultMemberUniqueName="[Range 1].[Total Sales].[All]" allUniqueName="[Range 1].[Total Sales].[All]" dimensionUniqueName="[Range 1]" displayFolder="" count="0" memberValueDatatype="20" unbalanced="0"/>
    <cacheHierarchy uniqueName="[Range 1].[Customer Name]" caption="Customer Name" attribute="1" defaultMemberUniqueName="[Range 1].[Customer Name].[All]" allUniqueName="[Range 1].[Customer Name].[All]" dimensionUniqueName="[Range 1]" displayFolder="" count="0" memberValueDatatype="130" unbalanced="0"/>
    <cacheHierarchy uniqueName="[Range 1].[Customer Location]" caption="Customer Location" attribute="1" defaultMemberUniqueName="[Range 1].[Customer Location].[All]" allUniqueName="[Range 1].[Customer Location].[All]" dimensionUniqueName="[Range 1]" displayFolder="" count="0" memberValueDatatype="130" unbalanced="0"/>
    <cacheHierarchy uniqueName="[Range 1].[Payment Method]" caption="Payment Method" attribute="1" defaultMemberUniqueName="[Range 1].[Payment Method].[All]" allUniqueName="[Range 1].[Payment Method].[All]" dimensionUniqueName="[Range 1]" displayFolder="" count="0" memberValueDatatype="130" unbalanced="0"/>
    <cacheHierarchy uniqueName="[Range 1].[Status]" caption="Status" attribute="1" defaultMemberUniqueName="[Range 1].[Status].[All]" allUniqueName="[Range 1].[Status].[All]" dimensionUniqueName="[Range 1]" displayFolder="" count="0" memberValueDatatype="130" unbalanced="0"/>
    <cacheHierarchy uniqueName="[Range 1].[Month]" caption="Month" attribute="1" defaultMemberUniqueName="[Range 1].[Month].[All]" allUniqueName="[Range 1].[Month].[All]" dimensionUniqueName="[Range 1]" displayFolder="" count="0" memberValueDatatype="130" unbalanced="0"/>
    <cacheHierarchy uniqueName="[Range 1].[week from date]" caption="week from date" attribute="1" defaultMemberUniqueName="[Range 1].[week from date].[All]" allUniqueName="[Range 1].[week from date].[All]" dimensionUniqueName="[Range 1]"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Total Sales]" caption="Sum of Total Sales" measure="1" displayFolder="" measureGroup="Range" count="0" oneField="1" hidden="1">
      <fieldsUsage count="1">
        <fieldUsage x="0"/>
      </fieldsUsage>
      <extLst>
        <ext xmlns:x15="http://schemas.microsoft.com/office/spreadsheetml/2010/11/main" uri="{B97F6D7D-B522-45F9-BDA1-12C45D357490}">
          <x15:cacheHierarchy aggregatedColumn="6"/>
        </ext>
      </extLst>
    </cacheHierarchy>
    <cacheHierarchy uniqueName="[Measures].[Sum of Price]" caption="Sum of Price" measure="1" displayFolder="" measureGroup="Range"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Range"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Range" count="0" hidden="1">
      <extLst>
        <ext xmlns:x15="http://schemas.microsoft.com/office/spreadsheetml/2010/11/main" uri="{B97F6D7D-B522-45F9-BDA1-12C45D357490}">
          <x15:cacheHierarchy aggregatedColumn="7"/>
        </ext>
      </extLst>
    </cacheHierarchy>
    <cacheHierarchy uniqueName="[Measures].[Sum of Quantity]" caption="Sum of Quantity" measure="1" displayFolder="" measureGroup="Range" count="0" hidden="1">
      <extLst>
        <ext xmlns:x15="http://schemas.microsoft.com/office/spreadsheetml/2010/11/main" uri="{B97F6D7D-B522-45F9-BDA1-12C45D357490}">
          <x15:cacheHierarchy aggregatedColumn="5"/>
        </ext>
      </extLst>
    </cacheHierarchy>
    <cacheHierarchy uniqueName="[Measures].[Sum of Total Sales 2]" caption="Sum of Total Sales 2" measure="1" displayFolder="" measureGroup="Range 1" count="0" hidden="1">
      <extLst>
        <ext xmlns:x15="http://schemas.microsoft.com/office/spreadsheetml/2010/11/main" uri="{B97F6D7D-B522-45F9-BDA1-12C45D357490}">
          <x15:cacheHierarchy aggregatedColumn="19"/>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lasam praveen" refreshedDate="45813.890846643517" backgroundQuery="1" createdVersion="8" refreshedVersion="8" minRefreshableVersion="3" recordCount="0" supportSubquery="1" supportAdvancedDrill="1" xr:uid="{C9195BFA-2544-4105-BD2E-0BDB398C0184}">
  <cacheSource type="external" connectionId="1"/>
  <cacheFields count="3">
    <cacheField name="[Measures].[Sum of Total Sales]" caption="Sum of Total Sales" numFmtId="0" hierarchy="30" level="32767"/>
    <cacheField name="[Range].[Customer Location].[Customer Location]" caption="Customer Location" numFmtId="0" hierarchy="8" level="1">
      <sharedItems count="10">
        <s v="Boston"/>
        <s v="Chicago"/>
        <s v="Dallas"/>
        <s v="Denver"/>
        <s v="Houston"/>
        <s v="Los Angeles"/>
        <s v="Miami"/>
        <s v="New York"/>
        <s v="San Francisco"/>
        <s v="Seattle"/>
      </sharedItems>
    </cacheField>
    <cacheField name="[Range].[Month].[Month]" caption="Month" numFmtId="0" hierarchy="11" level="1">
      <sharedItems containsSemiMixedTypes="0" containsNonDate="0" containsString="0"/>
    </cacheField>
  </cacheFields>
  <cacheHierarchies count="36">
    <cacheHierarchy uniqueName="[Range].[Order ID]" caption="Order ID" attribute="1" defaultMemberUniqueName="[Range].[Order ID].[All]" allUniqueName="[Range].[Order ID].[All]" dimensionUniqueName="[Range]" displayFolder="" count="0" memberValueDatatype="130" unbalanced="0"/>
    <cacheHierarchy uniqueName="[Range].[Date]" caption="Date" attribute="1" time="1" defaultMemberUniqueName="[Range].[Date].[All]" allUniqueName="[Range].[Date].[All]" dimensionUniqueName="[Range]" displayFolder="" count="0" memberValueDatatype="7"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cacheHierarchy uniqueName="[Range].[Price]" caption="Price" attribute="1" defaultMemberUniqueName="[Range].[Price].[All]" allUniqueName="[Range].[Price].[All]" dimensionUniqueName="[Range]" displayFolder="" count="0" memberValueDatatype="20" unbalanced="0"/>
    <cacheHierarchy uniqueName="[Range].[Quantity]" caption="Quantity" attribute="1" defaultMemberUniqueName="[Range].[Quantity].[All]" allUniqueName="[Range].[Quantity].[All]" dimensionUniqueName="[Range]" displayFolder="" count="0" memberValueDatatype="20" unbalanced="0"/>
    <cacheHierarchy uniqueName="[Range].[Total Sales]" caption="Total Sales" attribute="1" defaultMemberUniqueName="[Range].[Total Sales].[All]" allUniqueName="[Range].[Total Sales].[All]" dimensionUniqueName="[Range]" displayFolder="" count="0" memberValueDatatype="20" unbalanced="0"/>
    <cacheHierarchy uniqueName="[Range].[Customer Name]" caption="Customer Name" attribute="1" defaultMemberUniqueName="[Range].[Customer Name].[All]" allUniqueName="[Range].[Customer Name].[All]" dimensionUniqueName="[Range]" displayFolder="" count="0" memberValueDatatype="130" unbalanced="0"/>
    <cacheHierarchy uniqueName="[Range].[Customer Location]" caption="Customer Location" attribute="1" defaultMemberUniqueName="[Range].[Customer Location].[All]" allUniqueName="[Range].[Customer Location].[All]" dimensionUniqueName="[Range]" displayFolder="" count="2" memberValueDatatype="130" unbalanced="0">
      <fieldsUsage count="2">
        <fieldUsage x="-1"/>
        <fieldUsage x="1"/>
      </fieldsUsage>
    </cacheHierarchy>
    <cacheHierarchy uniqueName="[Range].[Payment Method]" caption="Payment Method" attribute="1" defaultMemberUniqueName="[Range].[Payment Method].[All]" allUniqueName="[Range].[Payment Method].[All]" dimensionUniqueName="[Range]" displayFolder="" count="0" memberValueDatatype="130" unbalanced="0"/>
    <cacheHierarchy uniqueName="[Range].[Status]" caption="Status" attribute="1" defaultMemberUniqueName="[Range].[Status].[All]" allUniqueName="[Range].[Status].[All]" dimensionUniqueName="[Range]" displayFolder="" count="0" memberValueDatatype="130" unbalanced="0"/>
    <cacheHierarchy uniqueName="[Range].[Month]" caption="Month" attribute="1" defaultMemberUniqueName="[Range].[Month].[All]" allUniqueName="[Range].[Month].[All]" dimensionUniqueName="[Range]" displayFolder="" count="2" memberValueDatatype="130" unbalanced="0">
      <fieldsUsage count="2">
        <fieldUsage x="-1"/>
        <fieldUsage x="2"/>
      </fieldsUsage>
    </cacheHierarchy>
    <cacheHierarchy uniqueName="[Range].[Date (Month)]" caption="Date (Month)" attribute="1" defaultMemberUniqueName="[Range].[Date (Month)].[All]" allUniqueName="[Range].[Date (Month)].[All]" dimensionUniqueName="[Range]" displayFolder="" count="0" memberValueDatatype="130" unbalanced="0"/>
    <cacheHierarchy uniqueName="[Range 1].[Order ID]" caption="Order ID" attribute="1" defaultMemberUniqueName="[Range 1].[Order ID].[All]" allUniqueName="[Range 1].[Order ID].[All]" dimensionUniqueName="[Range 1]" displayFolder="" count="0" memberValueDatatype="130" unbalanced="0"/>
    <cacheHierarchy uniqueName="[Range 1].[Date]" caption="Date" attribute="1" time="1" defaultMemberUniqueName="[Range 1].[Date].[All]" allUniqueName="[Range 1].[Date].[All]" dimensionUniqueName="[Range 1]" displayFolder="" count="0" memberValueDatatype="7" unbalanced="0"/>
    <cacheHierarchy uniqueName="[Range 1].[Product]" caption="Product" attribute="1" defaultMemberUniqueName="[Range 1].[Product].[All]" allUniqueName="[Range 1].[Product].[All]" dimensionUniqueName="[Range 1]" displayFolder="" count="0" memberValueDatatype="130" unbalanced="0"/>
    <cacheHierarchy uniqueName="[Range 1].[Category]" caption="Category" attribute="1" defaultMemberUniqueName="[Range 1].[Category].[All]" allUniqueName="[Range 1].[Category].[All]" dimensionUniqueName="[Range 1]" displayFolder="" count="0" memberValueDatatype="130" unbalanced="0"/>
    <cacheHierarchy uniqueName="[Range 1].[Price]" caption="Price" attribute="1" defaultMemberUniqueName="[Range 1].[Price].[All]" allUniqueName="[Range 1].[Price].[All]" dimensionUniqueName="[Range 1]" displayFolder="" count="0" memberValueDatatype="20" unbalanced="0"/>
    <cacheHierarchy uniqueName="[Range 1].[Quantity]" caption="Quantity" attribute="1" defaultMemberUniqueName="[Range 1].[Quantity].[All]" allUniqueName="[Range 1].[Quantity].[All]" dimensionUniqueName="[Range 1]" displayFolder="" count="0" memberValueDatatype="20" unbalanced="0"/>
    <cacheHierarchy uniqueName="[Range 1].[Total Sales]" caption="Total Sales" attribute="1" defaultMemberUniqueName="[Range 1].[Total Sales].[All]" allUniqueName="[Range 1].[Total Sales].[All]" dimensionUniqueName="[Range 1]" displayFolder="" count="0" memberValueDatatype="20" unbalanced="0"/>
    <cacheHierarchy uniqueName="[Range 1].[Customer Name]" caption="Customer Name" attribute="1" defaultMemberUniqueName="[Range 1].[Customer Name].[All]" allUniqueName="[Range 1].[Customer Name].[All]" dimensionUniqueName="[Range 1]" displayFolder="" count="0" memberValueDatatype="130" unbalanced="0"/>
    <cacheHierarchy uniqueName="[Range 1].[Customer Location]" caption="Customer Location" attribute="1" defaultMemberUniqueName="[Range 1].[Customer Location].[All]" allUniqueName="[Range 1].[Customer Location].[All]" dimensionUniqueName="[Range 1]" displayFolder="" count="0" memberValueDatatype="130" unbalanced="0"/>
    <cacheHierarchy uniqueName="[Range 1].[Payment Method]" caption="Payment Method" attribute="1" defaultMemberUniqueName="[Range 1].[Payment Method].[All]" allUniqueName="[Range 1].[Payment Method].[All]" dimensionUniqueName="[Range 1]" displayFolder="" count="0" memberValueDatatype="130" unbalanced="0"/>
    <cacheHierarchy uniqueName="[Range 1].[Status]" caption="Status" attribute="1" defaultMemberUniqueName="[Range 1].[Status].[All]" allUniqueName="[Range 1].[Status].[All]" dimensionUniqueName="[Range 1]" displayFolder="" count="0" memberValueDatatype="130" unbalanced="0"/>
    <cacheHierarchy uniqueName="[Range 1].[Month]" caption="Month" attribute="1" defaultMemberUniqueName="[Range 1].[Month].[All]" allUniqueName="[Range 1].[Month].[All]" dimensionUniqueName="[Range 1]" displayFolder="" count="0" memberValueDatatype="130" unbalanced="0"/>
    <cacheHierarchy uniqueName="[Range 1].[week from date]" caption="week from date" attribute="1" defaultMemberUniqueName="[Range 1].[week from date].[All]" allUniqueName="[Range 1].[week from date].[All]" dimensionUniqueName="[Range 1]"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Total Sales]" caption="Sum of Total Sales" measure="1" displayFolder="" measureGroup="Range" count="0" oneField="1" hidden="1">
      <fieldsUsage count="1">
        <fieldUsage x="0"/>
      </fieldsUsage>
      <extLst>
        <ext xmlns:x15="http://schemas.microsoft.com/office/spreadsheetml/2010/11/main" uri="{B97F6D7D-B522-45F9-BDA1-12C45D357490}">
          <x15:cacheHierarchy aggregatedColumn="6"/>
        </ext>
      </extLst>
    </cacheHierarchy>
    <cacheHierarchy uniqueName="[Measures].[Sum of Price]" caption="Sum of Price" measure="1" displayFolder="" measureGroup="Range"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Range"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Range" count="0" hidden="1">
      <extLst>
        <ext xmlns:x15="http://schemas.microsoft.com/office/spreadsheetml/2010/11/main" uri="{B97F6D7D-B522-45F9-BDA1-12C45D357490}">
          <x15:cacheHierarchy aggregatedColumn="7"/>
        </ext>
      </extLst>
    </cacheHierarchy>
    <cacheHierarchy uniqueName="[Measures].[Sum of Quantity]" caption="Sum of Quantity" measure="1" displayFolder="" measureGroup="Range" count="0" hidden="1">
      <extLst>
        <ext xmlns:x15="http://schemas.microsoft.com/office/spreadsheetml/2010/11/main" uri="{B97F6D7D-B522-45F9-BDA1-12C45D357490}">
          <x15:cacheHierarchy aggregatedColumn="5"/>
        </ext>
      </extLst>
    </cacheHierarchy>
    <cacheHierarchy uniqueName="[Measures].[Sum of Total Sales 2]" caption="Sum of Total Sales 2" measure="1" displayFolder="" measureGroup="Range 1" count="0" hidden="1">
      <extLst>
        <ext xmlns:x15="http://schemas.microsoft.com/office/spreadsheetml/2010/11/main" uri="{B97F6D7D-B522-45F9-BDA1-12C45D357490}">
          <x15:cacheHierarchy aggregatedColumn="19"/>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lasam praveen" refreshedDate="45813.890847222225" backgroundQuery="1" createdVersion="8" refreshedVersion="8" minRefreshableVersion="3" recordCount="0" supportSubquery="1" supportAdvancedDrill="1" xr:uid="{A325FB26-F41F-4216-94D1-1629E4651A94}">
  <cacheSource type="external" connectionId="1"/>
  <cacheFields count="4">
    <cacheField name="[Measures].[Sum of Total Sales]" caption="Sum of Total Sales" numFmtId="0" hierarchy="30" level="32767"/>
    <cacheField name="[Range].[Date].[Date]" caption="Date" numFmtId="0" hierarchy="1" level="1">
      <sharedItems containsSemiMixedTypes="0" containsNonDate="0" containsDate="1" containsString="0" minDate="2025-02-02T00:00:00" maxDate="2025-04-03T00:00:00" count="60">
        <d v="2025-02-02T00:00:00"/>
        <d v="2025-02-03T00:00:00"/>
        <d v="2025-02-04T00:00:00"/>
        <d v="2025-02-05T00:00:00"/>
        <d v="2025-02-06T00:00:00"/>
        <d v="2025-02-07T00:00:00"/>
        <d v="2025-02-08T00:00:00"/>
        <d v="2025-02-09T00:00:00"/>
        <d v="2025-02-10T00:00:00"/>
        <d v="2025-02-11T00:00:00"/>
        <d v="2025-02-12T00:00:00"/>
        <d v="2025-02-13T00:00:00"/>
        <d v="2025-02-14T00:00:00"/>
        <d v="2025-02-15T00:00:00"/>
        <d v="2025-02-16T00:00:00"/>
        <d v="2025-02-17T00:00:00"/>
        <d v="2025-02-18T00:00:00"/>
        <d v="2025-02-19T00:00:00"/>
        <d v="2025-02-20T00:00:00"/>
        <d v="2025-02-21T00:00:00"/>
        <d v="2025-02-22T00:00:00"/>
        <d v="2025-02-23T00:00:00"/>
        <d v="2025-02-24T00:00:00"/>
        <d v="2025-02-25T00:00:00"/>
        <d v="2025-02-26T00:00:00"/>
        <d v="2025-02-27T00:00:00"/>
        <d v="2025-02-28T00:00:00"/>
        <d v="2025-03-01T00:00:00"/>
        <d v="2025-03-02T00:00:00"/>
        <d v="2025-03-03T00:00:00"/>
        <d v="2025-03-04T00:00:00"/>
        <d v="2025-03-05T00:00:00"/>
        <d v="2025-03-06T00:00:00"/>
        <d v="2025-03-07T00:00:00"/>
        <d v="2025-03-08T00:00:00"/>
        <d v="2025-03-09T00:00:00"/>
        <d v="2025-03-10T00:00:00"/>
        <d v="2025-03-11T00:00:00"/>
        <d v="2025-03-12T00:00:00"/>
        <d v="2025-03-13T00:00:00"/>
        <d v="2025-03-14T00:00:00"/>
        <d v="2025-03-15T00:00:00"/>
        <d v="2025-03-16T00:00:00"/>
        <d v="2025-03-17T00:00:00"/>
        <d v="2025-03-18T00:00:00"/>
        <d v="2025-03-19T00:00:00"/>
        <d v="2025-03-20T00:00:00"/>
        <d v="2025-03-21T00:00:00"/>
        <d v="2025-03-22T00:00:00"/>
        <d v="2025-03-23T00:00:00"/>
        <d v="2025-03-24T00:00:00"/>
        <d v="2025-03-25T00:00:00"/>
        <d v="2025-03-26T00:00:00"/>
        <d v="2025-03-27T00:00:00"/>
        <d v="2025-03-28T00:00:00"/>
        <d v="2025-03-29T00:00:00"/>
        <d v="2025-03-30T00:00:00"/>
        <d v="2025-03-31T00:00:00"/>
        <d v="2025-04-01T00:00:00"/>
        <d v="2025-04-02T00:00:00"/>
      </sharedItems>
    </cacheField>
    <cacheField name="[Range].[Date (Month)].[Date (Month)]" caption="Date (Month)" numFmtId="0" hierarchy="12" level="1">
      <sharedItems count="3">
        <s v="Feb"/>
        <s v="Mar"/>
        <s v="Apr"/>
      </sharedItems>
    </cacheField>
    <cacheField name="[Range].[Month].[Month]" caption="Month" numFmtId="0" hierarchy="11" level="1">
      <sharedItems containsSemiMixedTypes="0" containsNonDate="0" containsString="0"/>
    </cacheField>
  </cacheFields>
  <cacheHierarchies count="36">
    <cacheHierarchy uniqueName="[Range].[Order ID]" caption="Order ID" attribute="1" defaultMemberUniqueName="[Range].[Order ID].[All]" allUniqueName="[Range].[Order ID].[All]" dimensionUniqueName="[Range]" displayFolder="" count="0" memberValueDatatype="130" unbalanced="0"/>
    <cacheHierarchy uniqueName="[Range].[Date]" caption="Date" attribute="1" time="1" defaultMemberUniqueName="[Range].[Date].[All]" allUniqueName="[Range].[Date].[All]" dimensionUniqueName="[Range]" displayFolder="" count="2" memberValueDatatype="7" unbalanced="0">
      <fieldsUsage count="2">
        <fieldUsage x="-1"/>
        <fieldUsage x="1"/>
      </fieldsUsage>
    </cacheHierarchy>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cacheHierarchy uniqueName="[Range].[Price]" caption="Price" attribute="1" defaultMemberUniqueName="[Range].[Price].[All]" allUniqueName="[Range].[Price].[All]" dimensionUniqueName="[Range]" displayFolder="" count="0" memberValueDatatype="20" unbalanced="0"/>
    <cacheHierarchy uniqueName="[Range].[Quantity]" caption="Quantity" attribute="1" defaultMemberUniqueName="[Range].[Quantity].[All]" allUniqueName="[Range].[Quantity].[All]" dimensionUniqueName="[Range]" displayFolder="" count="0" memberValueDatatype="20" unbalanced="0"/>
    <cacheHierarchy uniqueName="[Range].[Total Sales]" caption="Total Sales" attribute="1" defaultMemberUniqueName="[Range].[Total Sales].[All]" allUniqueName="[Range].[Total Sales].[All]" dimensionUniqueName="[Range]" displayFolder="" count="0" memberValueDatatype="20" unbalanced="0"/>
    <cacheHierarchy uniqueName="[Range].[Customer Name]" caption="Customer Name" attribute="1" defaultMemberUniqueName="[Range].[Customer Name].[All]" allUniqueName="[Range].[Customer Name].[All]" dimensionUniqueName="[Range]" displayFolder="" count="0" memberValueDatatype="130" unbalanced="0"/>
    <cacheHierarchy uniqueName="[Range].[Customer Location]" caption="Customer Location" attribute="1" defaultMemberUniqueName="[Range].[Customer Location].[All]" allUniqueName="[Range].[Customer Location].[All]" dimensionUniqueName="[Range]" displayFolder="" count="0" memberValueDatatype="130" unbalanced="0"/>
    <cacheHierarchy uniqueName="[Range].[Payment Method]" caption="Payment Method" attribute="1" defaultMemberUniqueName="[Range].[Payment Method].[All]" allUniqueName="[Range].[Payment Method].[All]" dimensionUniqueName="[Range]" displayFolder="" count="0" memberValueDatatype="130" unbalanced="0"/>
    <cacheHierarchy uniqueName="[Range].[Status]" caption="Status" attribute="1" defaultMemberUniqueName="[Range].[Status].[All]" allUniqueName="[Range].[Status].[All]" dimensionUniqueName="[Range]" displayFolder="" count="0" memberValueDatatype="130" unbalanced="0"/>
    <cacheHierarchy uniqueName="[Range].[Month]" caption="Month" attribute="1" defaultMemberUniqueName="[Range].[Month].[All]" allUniqueName="[Range].[Month].[All]" dimensionUniqueName="[Range]" displayFolder="" count="2" memberValueDatatype="130" unbalanced="0">
      <fieldsUsage count="2">
        <fieldUsage x="-1"/>
        <fieldUsage x="3"/>
      </fieldsUsage>
    </cacheHierarchy>
    <cacheHierarchy uniqueName="[Range].[Date (Month)]" caption="Date (Month)" attribute="1" defaultMemberUniqueName="[Range].[Date (Month)].[All]" allUniqueName="[Range].[Date (Month)].[All]" dimensionUniqueName="[Range]" displayFolder="" count="2" memberValueDatatype="130" unbalanced="0">
      <fieldsUsage count="2">
        <fieldUsage x="-1"/>
        <fieldUsage x="2"/>
      </fieldsUsage>
    </cacheHierarchy>
    <cacheHierarchy uniqueName="[Range 1].[Order ID]" caption="Order ID" attribute="1" defaultMemberUniqueName="[Range 1].[Order ID].[All]" allUniqueName="[Range 1].[Order ID].[All]" dimensionUniqueName="[Range 1]" displayFolder="" count="0" memberValueDatatype="130" unbalanced="0"/>
    <cacheHierarchy uniqueName="[Range 1].[Date]" caption="Date" attribute="1" time="1" defaultMemberUniqueName="[Range 1].[Date].[All]" allUniqueName="[Range 1].[Date].[All]" dimensionUniqueName="[Range 1]" displayFolder="" count="0" memberValueDatatype="7" unbalanced="0"/>
    <cacheHierarchy uniqueName="[Range 1].[Product]" caption="Product" attribute="1" defaultMemberUniqueName="[Range 1].[Product].[All]" allUniqueName="[Range 1].[Product].[All]" dimensionUniqueName="[Range 1]" displayFolder="" count="0" memberValueDatatype="130" unbalanced="0"/>
    <cacheHierarchy uniqueName="[Range 1].[Category]" caption="Category" attribute="1" defaultMemberUniqueName="[Range 1].[Category].[All]" allUniqueName="[Range 1].[Category].[All]" dimensionUniqueName="[Range 1]" displayFolder="" count="0" memberValueDatatype="130" unbalanced="0"/>
    <cacheHierarchy uniqueName="[Range 1].[Price]" caption="Price" attribute="1" defaultMemberUniqueName="[Range 1].[Price].[All]" allUniqueName="[Range 1].[Price].[All]" dimensionUniqueName="[Range 1]" displayFolder="" count="0" memberValueDatatype="20" unbalanced="0"/>
    <cacheHierarchy uniqueName="[Range 1].[Quantity]" caption="Quantity" attribute="1" defaultMemberUniqueName="[Range 1].[Quantity].[All]" allUniqueName="[Range 1].[Quantity].[All]" dimensionUniqueName="[Range 1]" displayFolder="" count="0" memberValueDatatype="20" unbalanced="0"/>
    <cacheHierarchy uniqueName="[Range 1].[Total Sales]" caption="Total Sales" attribute="1" defaultMemberUniqueName="[Range 1].[Total Sales].[All]" allUniqueName="[Range 1].[Total Sales].[All]" dimensionUniqueName="[Range 1]" displayFolder="" count="0" memberValueDatatype="20" unbalanced="0"/>
    <cacheHierarchy uniqueName="[Range 1].[Customer Name]" caption="Customer Name" attribute="1" defaultMemberUniqueName="[Range 1].[Customer Name].[All]" allUniqueName="[Range 1].[Customer Name].[All]" dimensionUniqueName="[Range 1]" displayFolder="" count="0" memberValueDatatype="130" unbalanced="0"/>
    <cacheHierarchy uniqueName="[Range 1].[Customer Location]" caption="Customer Location" attribute="1" defaultMemberUniqueName="[Range 1].[Customer Location].[All]" allUniqueName="[Range 1].[Customer Location].[All]" dimensionUniqueName="[Range 1]" displayFolder="" count="0" memberValueDatatype="130" unbalanced="0"/>
    <cacheHierarchy uniqueName="[Range 1].[Payment Method]" caption="Payment Method" attribute="1" defaultMemberUniqueName="[Range 1].[Payment Method].[All]" allUniqueName="[Range 1].[Payment Method].[All]" dimensionUniqueName="[Range 1]" displayFolder="" count="0" memberValueDatatype="130" unbalanced="0"/>
    <cacheHierarchy uniqueName="[Range 1].[Status]" caption="Status" attribute="1" defaultMemberUniqueName="[Range 1].[Status].[All]" allUniqueName="[Range 1].[Status].[All]" dimensionUniqueName="[Range 1]" displayFolder="" count="0" memberValueDatatype="130" unbalanced="0"/>
    <cacheHierarchy uniqueName="[Range 1].[Month]" caption="Month" attribute="1" defaultMemberUniqueName="[Range 1].[Month].[All]" allUniqueName="[Range 1].[Month].[All]" dimensionUniqueName="[Range 1]" displayFolder="" count="0" memberValueDatatype="130" unbalanced="0"/>
    <cacheHierarchy uniqueName="[Range 1].[week from date]" caption="week from date" attribute="1" defaultMemberUniqueName="[Range 1].[week from date].[All]" allUniqueName="[Range 1].[week from date].[All]" dimensionUniqueName="[Range 1]"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Total Sales]" caption="Sum of Total Sales" measure="1" displayFolder="" measureGroup="Range" count="0" oneField="1" hidden="1">
      <fieldsUsage count="1">
        <fieldUsage x="0"/>
      </fieldsUsage>
      <extLst>
        <ext xmlns:x15="http://schemas.microsoft.com/office/spreadsheetml/2010/11/main" uri="{B97F6D7D-B522-45F9-BDA1-12C45D357490}">
          <x15:cacheHierarchy aggregatedColumn="6"/>
        </ext>
      </extLst>
    </cacheHierarchy>
    <cacheHierarchy uniqueName="[Measures].[Sum of Price]" caption="Sum of Price" measure="1" displayFolder="" measureGroup="Range"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Range"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Range" count="0" hidden="1">
      <extLst>
        <ext xmlns:x15="http://schemas.microsoft.com/office/spreadsheetml/2010/11/main" uri="{B97F6D7D-B522-45F9-BDA1-12C45D357490}">
          <x15:cacheHierarchy aggregatedColumn="7"/>
        </ext>
      </extLst>
    </cacheHierarchy>
    <cacheHierarchy uniqueName="[Measures].[Sum of Quantity]" caption="Sum of Quantity" measure="1" displayFolder="" measureGroup="Range" count="0" hidden="1">
      <extLst>
        <ext xmlns:x15="http://schemas.microsoft.com/office/spreadsheetml/2010/11/main" uri="{B97F6D7D-B522-45F9-BDA1-12C45D357490}">
          <x15:cacheHierarchy aggregatedColumn="5"/>
        </ext>
      </extLst>
    </cacheHierarchy>
    <cacheHierarchy uniqueName="[Measures].[Sum of Total Sales 2]" caption="Sum of Total Sales 2" measure="1" displayFolder="" measureGroup="Range 1" count="0" hidden="1">
      <extLst>
        <ext xmlns:x15="http://schemas.microsoft.com/office/spreadsheetml/2010/11/main" uri="{B97F6D7D-B522-45F9-BDA1-12C45D357490}">
          <x15:cacheHierarchy aggregatedColumn="19"/>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lasam praveen" refreshedDate="45813.890847685187" backgroundQuery="1" createdVersion="8" refreshedVersion="8" minRefreshableVersion="3" recordCount="0" supportSubquery="1" supportAdvancedDrill="1" xr:uid="{84EAB784-AA82-4C59-A73F-1E1A6C7D852B}">
  <cacheSource type="external" connectionId="1"/>
  <cacheFields count="3">
    <cacheField name="[Measures].[Sum of Total Sales]" caption="Sum of Total Sales" numFmtId="0" hierarchy="30" level="32767"/>
    <cacheField name="[Range].[Payment Method].[Payment Method]" caption="Payment Method" numFmtId="0" hierarchy="9" level="1">
      <sharedItems count="5">
        <s v="Amazon Pay"/>
        <s v="Credit Card"/>
        <s v="Debit Card"/>
        <s v="Gift Card"/>
        <s v="PayPal"/>
      </sharedItems>
    </cacheField>
    <cacheField name="[Range].[Month].[Month]" caption="Month" numFmtId="0" hierarchy="11" level="1">
      <sharedItems containsSemiMixedTypes="0" containsNonDate="0" containsString="0"/>
    </cacheField>
  </cacheFields>
  <cacheHierarchies count="36">
    <cacheHierarchy uniqueName="[Range].[Order ID]" caption="Order ID" attribute="1" defaultMemberUniqueName="[Range].[Order ID].[All]" allUniqueName="[Range].[Order ID].[All]" dimensionUniqueName="[Range]" displayFolder="" count="0" memberValueDatatype="130" unbalanced="0"/>
    <cacheHierarchy uniqueName="[Range].[Date]" caption="Date" attribute="1" time="1" defaultMemberUniqueName="[Range].[Date].[All]" allUniqueName="[Range].[Date].[All]" dimensionUniqueName="[Range]" displayFolder="" count="0" memberValueDatatype="7"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cacheHierarchy uniqueName="[Range].[Price]" caption="Price" attribute="1" defaultMemberUniqueName="[Range].[Price].[All]" allUniqueName="[Range].[Price].[All]" dimensionUniqueName="[Range]" displayFolder="" count="0" memberValueDatatype="20" unbalanced="0"/>
    <cacheHierarchy uniqueName="[Range].[Quantity]" caption="Quantity" attribute="1" defaultMemberUniqueName="[Range].[Quantity].[All]" allUniqueName="[Range].[Quantity].[All]" dimensionUniqueName="[Range]" displayFolder="" count="0" memberValueDatatype="20" unbalanced="0"/>
    <cacheHierarchy uniqueName="[Range].[Total Sales]" caption="Total Sales" attribute="1" defaultMemberUniqueName="[Range].[Total Sales].[All]" allUniqueName="[Range].[Total Sales].[All]" dimensionUniqueName="[Range]" displayFolder="" count="0" memberValueDatatype="20" unbalanced="0"/>
    <cacheHierarchy uniqueName="[Range].[Customer Name]" caption="Customer Name" attribute="1" defaultMemberUniqueName="[Range].[Customer Name].[All]" allUniqueName="[Range].[Customer Name].[All]" dimensionUniqueName="[Range]" displayFolder="" count="0" memberValueDatatype="130" unbalanced="0"/>
    <cacheHierarchy uniqueName="[Range].[Customer Location]" caption="Customer Location" attribute="1" defaultMemberUniqueName="[Range].[Customer Location].[All]" allUniqueName="[Range].[Customer Location].[All]" dimensionUniqueName="[Range]" displayFolder="" count="0" memberValueDatatype="130" unbalanced="0"/>
    <cacheHierarchy uniqueName="[Range].[Payment Method]" caption="Payment Method" attribute="1" defaultMemberUniqueName="[Range].[Payment Method].[All]" allUniqueName="[Range].[Payment Method].[All]" dimensionUniqueName="[Range]" displayFolder="" count="2" memberValueDatatype="130" unbalanced="0">
      <fieldsUsage count="2">
        <fieldUsage x="-1"/>
        <fieldUsage x="1"/>
      </fieldsUsage>
    </cacheHierarchy>
    <cacheHierarchy uniqueName="[Range].[Status]" caption="Status" attribute="1" defaultMemberUniqueName="[Range].[Status].[All]" allUniqueName="[Range].[Status].[All]" dimensionUniqueName="[Range]" displayFolder="" count="0" memberValueDatatype="130" unbalanced="0"/>
    <cacheHierarchy uniqueName="[Range].[Month]" caption="Month" attribute="1" defaultMemberUniqueName="[Range].[Month].[All]" allUniqueName="[Range].[Month].[All]" dimensionUniqueName="[Range]" displayFolder="" count="2" memberValueDatatype="130" unbalanced="0">
      <fieldsUsage count="2">
        <fieldUsage x="-1"/>
        <fieldUsage x="2"/>
      </fieldsUsage>
    </cacheHierarchy>
    <cacheHierarchy uniqueName="[Range].[Date (Month)]" caption="Date (Month)" attribute="1" defaultMemberUniqueName="[Range].[Date (Month)].[All]" allUniqueName="[Range].[Date (Month)].[All]" dimensionUniqueName="[Range]" displayFolder="" count="0" memberValueDatatype="130" unbalanced="0"/>
    <cacheHierarchy uniqueName="[Range 1].[Order ID]" caption="Order ID" attribute="1" defaultMemberUniqueName="[Range 1].[Order ID].[All]" allUniqueName="[Range 1].[Order ID].[All]" dimensionUniqueName="[Range 1]" displayFolder="" count="0" memberValueDatatype="130" unbalanced="0"/>
    <cacheHierarchy uniqueName="[Range 1].[Date]" caption="Date" attribute="1" time="1" defaultMemberUniqueName="[Range 1].[Date].[All]" allUniqueName="[Range 1].[Date].[All]" dimensionUniqueName="[Range 1]" displayFolder="" count="0" memberValueDatatype="7" unbalanced="0"/>
    <cacheHierarchy uniqueName="[Range 1].[Product]" caption="Product" attribute="1" defaultMemberUniqueName="[Range 1].[Product].[All]" allUniqueName="[Range 1].[Product].[All]" dimensionUniqueName="[Range 1]" displayFolder="" count="0" memberValueDatatype="130" unbalanced="0"/>
    <cacheHierarchy uniqueName="[Range 1].[Category]" caption="Category" attribute="1" defaultMemberUniqueName="[Range 1].[Category].[All]" allUniqueName="[Range 1].[Category].[All]" dimensionUniqueName="[Range 1]" displayFolder="" count="0" memberValueDatatype="130" unbalanced="0"/>
    <cacheHierarchy uniqueName="[Range 1].[Price]" caption="Price" attribute="1" defaultMemberUniqueName="[Range 1].[Price].[All]" allUniqueName="[Range 1].[Price].[All]" dimensionUniqueName="[Range 1]" displayFolder="" count="0" memberValueDatatype="20" unbalanced="0"/>
    <cacheHierarchy uniqueName="[Range 1].[Quantity]" caption="Quantity" attribute="1" defaultMemberUniqueName="[Range 1].[Quantity].[All]" allUniqueName="[Range 1].[Quantity].[All]" dimensionUniqueName="[Range 1]" displayFolder="" count="0" memberValueDatatype="20" unbalanced="0"/>
    <cacheHierarchy uniqueName="[Range 1].[Total Sales]" caption="Total Sales" attribute="1" defaultMemberUniqueName="[Range 1].[Total Sales].[All]" allUniqueName="[Range 1].[Total Sales].[All]" dimensionUniqueName="[Range 1]" displayFolder="" count="0" memberValueDatatype="20" unbalanced="0"/>
    <cacheHierarchy uniqueName="[Range 1].[Customer Name]" caption="Customer Name" attribute="1" defaultMemberUniqueName="[Range 1].[Customer Name].[All]" allUniqueName="[Range 1].[Customer Name].[All]" dimensionUniqueName="[Range 1]" displayFolder="" count="0" memberValueDatatype="130" unbalanced="0"/>
    <cacheHierarchy uniqueName="[Range 1].[Customer Location]" caption="Customer Location" attribute="1" defaultMemberUniqueName="[Range 1].[Customer Location].[All]" allUniqueName="[Range 1].[Customer Location].[All]" dimensionUniqueName="[Range 1]" displayFolder="" count="0" memberValueDatatype="130" unbalanced="0"/>
    <cacheHierarchy uniqueName="[Range 1].[Payment Method]" caption="Payment Method" attribute="1" defaultMemberUniqueName="[Range 1].[Payment Method].[All]" allUniqueName="[Range 1].[Payment Method].[All]" dimensionUniqueName="[Range 1]" displayFolder="" count="0" memberValueDatatype="130" unbalanced="0"/>
    <cacheHierarchy uniqueName="[Range 1].[Status]" caption="Status" attribute="1" defaultMemberUniqueName="[Range 1].[Status].[All]" allUniqueName="[Range 1].[Status].[All]" dimensionUniqueName="[Range 1]" displayFolder="" count="0" memberValueDatatype="130" unbalanced="0"/>
    <cacheHierarchy uniqueName="[Range 1].[Month]" caption="Month" attribute="1" defaultMemberUniqueName="[Range 1].[Month].[All]" allUniqueName="[Range 1].[Month].[All]" dimensionUniqueName="[Range 1]" displayFolder="" count="0" memberValueDatatype="130" unbalanced="0"/>
    <cacheHierarchy uniqueName="[Range 1].[week from date]" caption="week from date" attribute="1" defaultMemberUniqueName="[Range 1].[week from date].[All]" allUniqueName="[Range 1].[week from date].[All]" dimensionUniqueName="[Range 1]"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Total Sales]" caption="Sum of Total Sales" measure="1" displayFolder="" measureGroup="Range" count="0" oneField="1" hidden="1">
      <fieldsUsage count="1">
        <fieldUsage x="0"/>
      </fieldsUsage>
      <extLst>
        <ext xmlns:x15="http://schemas.microsoft.com/office/spreadsheetml/2010/11/main" uri="{B97F6D7D-B522-45F9-BDA1-12C45D357490}">
          <x15:cacheHierarchy aggregatedColumn="6"/>
        </ext>
      </extLst>
    </cacheHierarchy>
    <cacheHierarchy uniqueName="[Measures].[Sum of Price]" caption="Sum of Price" measure="1" displayFolder="" measureGroup="Range"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Range"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Range" count="0" hidden="1">
      <extLst>
        <ext xmlns:x15="http://schemas.microsoft.com/office/spreadsheetml/2010/11/main" uri="{B97F6D7D-B522-45F9-BDA1-12C45D357490}">
          <x15:cacheHierarchy aggregatedColumn="7"/>
        </ext>
      </extLst>
    </cacheHierarchy>
    <cacheHierarchy uniqueName="[Measures].[Sum of Quantity]" caption="Sum of Quantity" measure="1" displayFolder="" measureGroup="Range" count="0" hidden="1">
      <extLst>
        <ext xmlns:x15="http://schemas.microsoft.com/office/spreadsheetml/2010/11/main" uri="{B97F6D7D-B522-45F9-BDA1-12C45D357490}">
          <x15:cacheHierarchy aggregatedColumn="5"/>
        </ext>
      </extLst>
    </cacheHierarchy>
    <cacheHierarchy uniqueName="[Measures].[Sum of Total Sales 2]" caption="Sum of Total Sales 2" measure="1" displayFolder="" measureGroup="Range 1" count="0" hidden="1">
      <extLst>
        <ext xmlns:x15="http://schemas.microsoft.com/office/spreadsheetml/2010/11/main" uri="{B97F6D7D-B522-45F9-BDA1-12C45D357490}">
          <x15:cacheHierarchy aggregatedColumn="19"/>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lasam praveen" refreshedDate="45813.89084803241" backgroundQuery="1" createdVersion="8" refreshedVersion="8" minRefreshableVersion="3" recordCount="0" supportSubquery="1" supportAdvancedDrill="1" xr:uid="{ABCFE58B-55DB-4559-B0E5-4A1F21998700}">
  <cacheSource type="external" connectionId="1"/>
  <cacheFields count="3">
    <cacheField name="[Measures].[Sum of Total Sales]" caption="Sum of Total Sales" numFmtId="0" hierarchy="30" level="32767"/>
    <cacheField name="[Range].[Status].[Status]" caption="Status" numFmtId="0" hierarchy="10" level="1">
      <sharedItems count="3">
        <s v="Cancelled"/>
        <s v="Completed"/>
        <s v="Pending"/>
      </sharedItems>
    </cacheField>
    <cacheField name="[Range].[Month].[Month]" caption="Month" numFmtId="0" hierarchy="11" level="1">
      <sharedItems containsSemiMixedTypes="0" containsNonDate="0" containsString="0"/>
    </cacheField>
  </cacheFields>
  <cacheHierarchies count="36">
    <cacheHierarchy uniqueName="[Range].[Order ID]" caption="Order ID" attribute="1" defaultMemberUniqueName="[Range].[Order ID].[All]" allUniqueName="[Range].[Order ID].[All]" dimensionUniqueName="[Range]" displayFolder="" count="0" memberValueDatatype="130" unbalanced="0"/>
    <cacheHierarchy uniqueName="[Range].[Date]" caption="Date" attribute="1" time="1" defaultMemberUniqueName="[Range].[Date].[All]" allUniqueName="[Range].[Date].[All]" dimensionUniqueName="[Range]" displayFolder="" count="0" memberValueDatatype="7"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cacheHierarchy uniqueName="[Range].[Price]" caption="Price" attribute="1" defaultMemberUniqueName="[Range].[Price].[All]" allUniqueName="[Range].[Price].[All]" dimensionUniqueName="[Range]" displayFolder="" count="0" memberValueDatatype="20" unbalanced="0"/>
    <cacheHierarchy uniqueName="[Range].[Quantity]" caption="Quantity" attribute="1" defaultMemberUniqueName="[Range].[Quantity].[All]" allUniqueName="[Range].[Quantity].[All]" dimensionUniqueName="[Range]" displayFolder="" count="0" memberValueDatatype="20" unbalanced="0"/>
    <cacheHierarchy uniqueName="[Range].[Total Sales]" caption="Total Sales" attribute="1" defaultMemberUniqueName="[Range].[Total Sales].[All]" allUniqueName="[Range].[Total Sales].[All]" dimensionUniqueName="[Range]" displayFolder="" count="0" memberValueDatatype="20" unbalanced="0"/>
    <cacheHierarchy uniqueName="[Range].[Customer Name]" caption="Customer Name" attribute="1" defaultMemberUniqueName="[Range].[Customer Name].[All]" allUniqueName="[Range].[Customer Name].[All]" dimensionUniqueName="[Range]" displayFolder="" count="0" memberValueDatatype="130" unbalanced="0"/>
    <cacheHierarchy uniqueName="[Range].[Customer Location]" caption="Customer Location" attribute="1" defaultMemberUniqueName="[Range].[Customer Location].[All]" allUniqueName="[Range].[Customer Location].[All]" dimensionUniqueName="[Range]" displayFolder="" count="0" memberValueDatatype="130" unbalanced="0"/>
    <cacheHierarchy uniqueName="[Range].[Payment Method]" caption="Payment Method" attribute="1" defaultMemberUniqueName="[Range].[Payment Method].[All]" allUniqueName="[Range].[Payment Method].[All]" dimensionUniqueName="[Range]" displayFolder="" count="0" memberValueDatatype="130" unbalanced="0"/>
    <cacheHierarchy uniqueName="[Range].[Status]" caption="Status" attribute="1" defaultMemberUniqueName="[Range].[Status].[All]" allUniqueName="[Range].[Status].[All]" dimensionUniqueName="[Range]" displayFolder="" count="2" memberValueDatatype="130" unbalanced="0">
      <fieldsUsage count="2">
        <fieldUsage x="-1"/>
        <fieldUsage x="1"/>
      </fieldsUsage>
    </cacheHierarchy>
    <cacheHierarchy uniqueName="[Range].[Month]" caption="Month" attribute="1" defaultMemberUniqueName="[Range].[Month].[All]" allUniqueName="[Range].[Month].[All]" dimensionUniqueName="[Range]" displayFolder="" count="2" memberValueDatatype="130" unbalanced="0">
      <fieldsUsage count="2">
        <fieldUsage x="-1"/>
        <fieldUsage x="2"/>
      </fieldsUsage>
    </cacheHierarchy>
    <cacheHierarchy uniqueName="[Range].[Date (Month)]" caption="Date (Month)" attribute="1" defaultMemberUniqueName="[Range].[Date (Month)].[All]" allUniqueName="[Range].[Date (Month)].[All]" dimensionUniqueName="[Range]" displayFolder="" count="0" memberValueDatatype="130" unbalanced="0"/>
    <cacheHierarchy uniqueName="[Range 1].[Order ID]" caption="Order ID" attribute="1" defaultMemberUniqueName="[Range 1].[Order ID].[All]" allUniqueName="[Range 1].[Order ID].[All]" dimensionUniqueName="[Range 1]" displayFolder="" count="0" memberValueDatatype="130" unbalanced="0"/>
    <cacheHierarchy uniqueName="[Range 1].[Date]" caption="Date" attribute="1" time="1" defaultMemberUniqueName="[Range 1].[Date].[All]" allUniqueName="[Range 1].[Date].[All]" dimensionUniqueName="[Range 1]" displayFolder="" count="0" memberValueDatatype="7" unbalanced="0"/>
    <cacheHierarchy uniqueName="[Range 1].[Product]" caption="Product" attribute="1" defaultMemberUniqueName="[Range 1].[Product].[All]" allUniqueName="[Range 1].[Product].[All]" dimensionUniqueName="[Range 1]" displayFolder="" count="0" memberValueDatatype="130" unbalanced="0"/>
    <cacheHierarchy uniqueName="[Range 1].[Category]" caption="Category" attribute="1" defaultMemberUniqueName="[Range 1].[Category].[All]" allUniqueName="[Range 1].[Category].[All]" dimensionUniqueName="[Range 1]" displayFolder="" count="0" memberValueDatatype="130" unbalanced="0"/>
    <cacheHierarchy uniqueName="[Range 1].[Price]" caption="Price" attribute="1" defaultMemberUniqueName="[Range 1].[Price].[All]" allUniqueName="[Range 1].[Price].[All]" dimensionUniqueName="[Range 1]" displayFolder="" count="0" memberValueDatatype="20" unbalanced="0"/>
    <cacheHierarchy uniqueName="[Range 1].[Quantity]" caption="Quantity" attribute="1" defaultMemberUniqueName="[Range 1].[Quantity].[All]" allUniqueName="[Range 1].[Quantity].[All]" dimensionUniqueName="[Range 1]" displayFolder="" count="0" memberValueDatatype="20" unbalanced="0"/>
    <cacheHierarchy uniqueName="[Range 1].[Total Sales]" caption="Total Sales" attribute="1" defaultMemberUniqueName="[Range 1].[Total Sales].[All]" allUniqueName="[Range 1].[Total Sales].[All]" dimensionUniqueName="[Range 1]" displayFolder="" count="0" memberValueDatatype="20" unbalanced="0"/>
    <cacheHierarchy uniqueName="[Range 1].[Customer Name]" caption="Customer Name" attribute="1" defaultMemberUniqueName="[Range 1].[Customer Name].[All]" allUniqueName="[Range 1].[Customer Name].[All]" dimensionUniqueName="[Range 1]" displayFolder="" count="0" memberValueDatatype="130" unbalanced="0"/>
    <cacheHierarchy uniqueName="[Range 1].[Customer Location]" caption="Customer Location" attribute="1" defaultMemberUniqueName="[Range 1].[Customer Location].[All]" allUniqueName="[Range 1].[Customer Location].[All]" dimensionUniqueName="[Range 1]" displayFolder="" count="0" memberValueDatatype="130" unbalanced="0"/>
    <cacheHierarchy uniqueName="[Range 1].[Payment Method]" caption="Payment Method" attribute="1" defaultMemberUniqueName="[Range 1].[Payment Method].[All]" allUniqueName="[Range 1].[Payment Method].[All]" dimensionUniqueName="[Range 1]" displayFolder="" count="0" memberValueDatatype="130" unbalanced="0"/>
    <cacheHierarchy uniqueName="[Range 1].[Status]" caption="Status" attribute="1" defaultMemberUniqueName="[Range 1].[Status].[All]" allUniqueName="[Range 1].[Status].[All]" dimensionUniqueName="[Range 1]" displayFolder="" count="0" memberValueDatatype="130" unbalanced="0"/>
    <cacheHierarchy uniqueName="[Range 1].[Month]" caption="Month" attribute="1" defaultMemberUniqueName="[Range 1].[Month].[All]" allUniqueName="[Range 1].[Month].[All]" dimensionUniqueName="[Range 1]" displayFolder="" count="0" memberValueDatatype="130" unbalanced="0"/>
    <cacheHierarchy uniqueName="[Range 1].[week from date]" caption="week from date" attribute="1" defaultMemberUniqueName="[Range 1].[week from date].[All]" allUniqueName="[Range 1].[week from date].[All]" dimensionUniqueName="[Range 1]"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Total Sales]" caption="Sum of Total Sales" measure="1" displayFolder="" measureGroup="Range" count="0" oneField="1" hidden="1">
      <fieldsUsage count="1">
        <fieldUsage x="0"/>
      </fieldsUsage>
      <extLst>
        <ext xmlns:x15="http://schemas.microsoft.com/office/spreadsheetml/2010/11/main" uri="{B97F6D7D-B522-45F9-BDA1-12C45D357490}">
          <x15:cacheHierarchy aggregatedColumn="6"/>
        </ext>
      </extLst>
    </cacheHierarchy>
    <cacheHierarchy uniqueName="[Measures].[Sum of Price]" caption="Sum of Price" measure="1" displayFolder="" measureGroup="Range"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Range"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Range" count="0" hidden="1">
      <extLst>
        <ext xmlns:x15="http://schemas.microsoft.com/office/spreadsheetml/2010/11/main" uri="{B97F6D7D-B522-45F9-BDA1-12C45D357490}">
          <x15:cacheHierarchy aggregatedColumn="7"/>
        </ext>
      </extLst>
    </cacheHierarchy>
    <cacheHierarchy uniqueName="[Measures].[Sum of Quantity]" caption="Sum of Quantity" measure="1" displayFolder="" measureGroup="Range" count="0" hidden="1">
      <extLst>
        <ext xmlns:x15="http://schemas.microsoft.com/office/spreadsheetml/2010/11/main" uri="{B97F6D7D-B522-45F9-BDA1-12C45D357490}">
          <x15:cacheHierarchy aggregatedColumn="5"/>
        </ext>
      </extLst>
    </cacheHierarchy>
    <cacheHierarchy uniqueName="[Measures].[Sum of Total Sales 2]" caption="Sum of Total Sales 2" measure="1" displayFolder="" measureGroup="Range 1" count="0" hidden="1">
      <extLst>
        <ext xmlns:x15="http://schemas.microsoft.com/office/spreadsheetml/2010/11/main" uri="{B97F6D7D-B522-45F9-BDA1-12C45D357490}">
          <x15:cacheHierarchy aggregatedColumn="19"/>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ulasam praveen" refreshedDate="45813.856466203702" backgroundQuery="1" createdVersion="3" refreshedVersion="8" minRefreshableVersion="3" recordCount="0" supportSubquery="1" supportAdvancedDrill="1" xr:uid="{DE1DDC4B-4534-488E-A91A-B99EE6536B9C}">
  <cacheSource type="external" connectionId="1">
    <extLst>
      <ext xmlns:x14="http://schemas.microsoft.com/office/spreadsheetml/2009/9/main" uri="{F057638F-6D5F-4e77-A914-E7F072B9BCA8}">
        <x14:sourceConnection name="ThisWorkbookDataModel"/>
      </ext>
    </extLst>
  </cacheSource>
  <cacheFields count="0"/>
  <cacheHierarchies count="35">
    <cacheHierarchy uniqueName="[Range].[Order ID]" caption="Order ID" attribute="1" defaultMemberUniqueName="[Range].[Order ID].[All]" allUniqueName="[Range].[Order ID].[All]" dimensionUniqueName="[Range]" displayFolder="" count="0" memberValueDatatype="130" unbalanced="0"/>
    <cacheHierarchy uniqueName="[Range].[Date]" caption="Date" attribute="1" time="1" defaultMemberUniqueName="[Range].[Date].[All]" allUniqueName="[Range].[Date].[All]" dimensionUniqueName="[Range]" displayFolder="" count="0" memberValueDatatype="7"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0" memberValueDatatype="130" unbalanced="0"/>
    <cacheHierarchy uniqueName="[Range].[Price]" caption="Price" attribute="1" defaultMemberUniqueName="[Range].[Price].[All]" allUniqueName="[Range].[Price].[All]" dimensionUniqueName="[Range]" displayFolder="" count="0" memberValueDatatype="20" unbalanced="0"/>
    <cacheHierarchy uniqueName="[Range].[Quantity]" caption="Quantity" attribute="1" defaultMemberUniqueName="[Range].[Quantity].[All]" allUniqueName="[Range].[Quantity].[All]" dimensionUniqueName="[Range]" displayFolder="" count="0" memberValueDatatype="20" unbalanced="0"/>
    <cacheHierarchy uniqueName="[Range].[Total Sales]" caption="Total Sales" attribute="1" defaultMemberUniqueName="[Range].[Total Sales].[All]" allUniqueName="[Range].[Total Sales].[All]" dimensionUniqueName="[Range]" displayFolder="" count="0" memberValueDatatype="20" unbalanced="0"/>
    <cacheHierarchy uniqueName="[Range].[Customer Name]" caption="Customer Name" attribute="1" defaultMemberUniqueName="[Range].[Customer Name].[All]" allUniqueName="[Range].[Customer Name].[All]" dimensionUniqueName="[Range]" displayFolder="" count="0" memberValueDatatype="130" unbalanced="0"/>
    <cacheHierarchy uniqueName="[Range].[Customer Location]" caption="Customer Location" attribute="1" defaultMemberUniqueName="[Range].[Customer Location].[All]" allUniqueName="[Range].[Customer Location].[All]" dimensionUniqueName="[Range]" displayFolder="" count="0" memberValueDatatype="130" unbalanced="0"/>
    <cacheHierarchy uniqueName="[Range].[Payment Method]" caption="Payment Method" attribute="1" defaultMemberUniqueName="[Range].[Payment Method].[All]" allUniqueName="[Range].[Payment Method].[All]" dimensionUniqueName="[Range]" displayFolder="" count="0" memberValueDatatype="130" unbalanced="0"/>
    <cacheHierarchy uniqueName="[Range].[Status]" caption="Status" attribute="1" defaultMemberUniqueName="[Range].[Status].[All]" allUniqueName="[Range].[Status].[All]" dimensionUniqueName="[Range]" displayFolder="" count="0" memberValueDatatype="130" unbalanced="0"/>
    <cacheHierarchy uniqueName="[Range].[Month]" caption="Month" attribute="1" defaultMemberUniqueName="[Range].[Month].[All]" allUniqueName="[Range].[Month].[All]" dimensionUniqueName="[Range]" displayFolder="" count="0" memberValueDatatype="130" unbalanced="0"/>
    <cacheHierarchy uniqueName="[Range].[Date (Month)]" caption="Date (Month)" attribute="1" defaultMemberUniqueName="[Range].[Date (Month)].[All]" allUniqueName="[Range].[Date (Month)].[All]" dimensionUniqueName="[Range]" displayFolder="" count="0" memberValueDatatype="130" unbalanced="0"/>
    <cacheHierarchy uniqueName="[Range 1].[Order ID]" caption="Order ID" attribute="1" defaultMemberUniqueName="[Range 1].[Order ID].[All]" allUniqueName="[Range 1].[Order ID].[All]" dimensionUniqueName="[Range 1]" displayFolder="" count="0" memberValueDatatype="130" unbalanced="0"/>
    <cacheHierarchy uniqueName="[Range 1].[Date]" caption="Date" attribute="1" time="1" defaultMemberUniqueName="[Range 1].[Date].[All]" allUniqueName="[Range 1].[Date].[All]" dimensionUniqueName="[Range 1]" displayFolder="" count="0" memberValueDatatype="7" unbalanced="0"/>
    <cacheHierarchy uniqueName="[Range 1].[Product]" caption="Product" attribute="1" defaultMemberUniqueName="[Range 1].[Product].[All]" allUniqueName="[Range 1].[Product].[All]" dimensionUniqueName="[Range 1]" displayFolder="" count="0" memberValueDatatype="130" unbalanced="0"/>
    <cacheHierarchy uniqueName="[Range 1].[Category]" caption="Category" attribute="1" defaultMemberUniqueName="[Range 1].[Category].[All]" allUniqueName="[Range 1].[Category].[All]" dimensionUniqueName="[Range 1]" displayFolder="" count="0" memberValueDatatype="130" unbalanced="0"/>
    <cacheHierarchy uniqueName="[Range 1].[Price]" caption="Price" attribute="1" defaultMemberUniqueName="[Range 1].[Price].[All]" allUniqueName="[Range 1].[Price].[All]" dimensionUniqueName="[Range 1]" displayFolder="" count="0" memberValueDatatype="20" unbalanced="0"/>
    <cacheHierarchy uniqueName="[Range 1].[Quantity]" caption="Quantity" attribute="1" defaultMemberUniqueName="[Range 1].[Quantity].[All]" allUniqueName="[Range 1].[Quantity].[All]" dimensionUniqueName="[Range 1]" displayFolder="" count="0" memberValueDatatype="20" unbalanced="0"/>
    <cacheHierarchy uniqueName="[Range 1].[Total Sales]" caption="Total Sales" attribute="1" defaultMemberUniqueName="[Range 1].[Total Sales].[All]" allUniqueName="[Range 1].[Total Sales].[All]" dimensionUniqueName="[Range 1]" displayFolder="" count="0" memberValueDatatype="20" unbalanced="0"/>
    <cacheHierarchy uniqueName="[Range 1].[Customer Name]" caption="Customer Name" attribute="1" defaultMemberUniqueName="[Range 1].[Customer Name].[All]" allUniqueName="[Range 1].[Customer Name].[All]" dimensionUniqueName="[Range 1]" displayFolder="" count="0" memberValueDatatype="130" unbalanced="0"/>
    <cacheHierarchy uniqueName="[Range 1].[Customer Location]" caption="Customer Location" attribute="1" defaultMemberUniqueName="[Range 1].[Customer Location].[All]" allUniqueName="[Range 1].[Customer Location].[All]" dimensionUniqueName="[Range 1]" displayFolder="" count="0" memberValueDatatype="130" unbalanced="0"/>
    <cacheHierarchy uniqueName="[Range 1].[Payment Method]" caption="Payment Method" attribute="1" defaultMemberUniqueName="[Range 1].[Payment Method].[All]" allUniqueName="[Range 1].[Payment Method].[All]" dimensionUniqueName="[Range 1]" displayFolder="" count="0" memberValueDatatype="130" unbalanced="0"/>
    <cacheHierarchy uniqueName="[Range 1].[Status]" caption="Status" attribute="1" defaultMemberUniqueName="[Range 1].[Status].[All]" allUniqueName="[Range 1].[Status].[All]" dimensionUniqueName="[Range 1]" displayFolder="" count="0" memberValueDatatype="130" unbalanced="0"/>
    <cacheHierarchy uniqueName="[Range 1].[Month]" caption="Month" attribute="1" defaultMemberUniqueName="[Range 1].[Month].[All]" allUniqueName="[Range 1].[Month].[All]" dimensionUniqueName="[Range 1]" displayFolder="" count="0" memberValueDatatype="130" unbalanced="0"/>
    <cacheHierarchy uniqueName="[Range 1].[week from date]" caption="week from date" attribute="1" defaultMemberUniqueName="[Range 1].[week from date].[All]" allUniqueName="[Range 1].[week from date].[All]" dimensionUniqueName="[Range 1]"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Total Sales]" caption="Sum of Total Sales" measure="1" displayFolder="" measureGroup="Range" count="0" hidden="1">
      <extLst>
        <ext xmlns:x15="http://schemas.microsoft.com/office/spreadsheetml/2010/11/main" uri="{B97F6D7D-B522-45F9-BDA1-12C45D357490}">
          <x15:cacheHierarchy aggregatedColumn="6"/>
        </ext>
      </extLst>
    </cacheHierarchy>
    <cacheHierarchy uniqueName="[Measures].[Sum of Price]" caption="Sum of Price" measure="1" displayFolder="" measureGroup="Range"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Range" count="0" hidden="1">
      <extLst>
        <ext xmlns:x15="http://schemas.microsoft.com/office/spreadsheetml/2010/11/main" uri="{B97F6D7D-B522-45F9-BDA1-12C45D357490}">
          <x15:cacheHierarchy aggregatedColumn="7"/>
        </ext>
      </extLst>
    </cacheHierarchy>
    <cacheHierarchy uniqueName="[Measures].[Distinct Count of Customer Name]" caption="Distinct Count of Customer Name" measure="1" displayFolder="" measureGroup="Range" count="0" hidden="1">
      <extLst>
        <ext xmlns:x15="http://schemas.microsoft.com/office/spreadsheetml/2010/11/main" uri="{B97F6D7D-B522-45F9-BDA1-12C45D357490}">
          <x15:cacheHierarchy aggregatedColumn="7"/>
        </ext>
      </extLst>
    </cacheHierarchy>
    <cacheHierarchy uniqueName="[Measures].[Sum of Quantity]" caption="Sum of Quantity" measure="1" displayFolder="" measureGroup="Range" count="0" hidden="1">
      <extLst>
        <ext xmlns:x15="http://schemas.microsoft.com/office/spreadsheetml/2010/11/main" uri="{B97F6D7D-B522-45F9-BDA1-12C45D357490}">
          <x15:cacheHierarchy aggregatedColumn="5"/>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licerData="1" pivotCacheId="40409388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B4513F1-DD6A-4586-93DF-60FA1673267A}" name="PivotTable16" cacheId="69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9">
  <location ref="T5:U16" firstHeaderRow="1" firstDataRow="1" firstDataCol="1"/>
  <pivotFields count="2">
    <pivotField dataField="1" subtotalTop="0" showAll="0" defaultSubtotal="0"/>
    <pivotField axis="axisRow" allDrilled="1" subtotalTop="0" showAll="0" dataSourceSort="1" defaultSubtotal="0" defaultAttributeDrillState="1">
      <items count="10">
        <item x="0"/>
        <item x="1"/>
        <item x="2"/>
        <item x="3"/>
        <item x="4"/>
        <item x="5"/>
        <item x="6"/>
        <item x="7"/>
        <item x="8"/>
        <item x="9"/>
      </items>
    </pivotField>
  </pivotFields>
  <rowFields count="1">
    <field x="1"/>
  </rowFields>
  <rowItems count="11">
    <i>
      <x/>
    </i>
    <i>
      <x v="1"/>
    </i>
    <i>
      <x v="2"/>
    </i>
    <i>
      <x v="3"/>
    </i>
    <i>
      <x v="4"/>
    </i>
    <i>
      <x v="5"/>
    </i>
    <i>
      <x v="6"/>
    </i>
    <i>
      <x v="7"/>
    </i>
    <i>
      <x v="8"/>
    </i>
    <i>
      <x v="9"/>
    </i>
    <i t="grand">
      <x/>
    </i>
  </rowItems>
  <colItems count="1">
    <i/>
  </colItems>
  <dataFields count="1">
    <dataField name="Sum of Total Sales" fld="0" baseField="0" baseItem="0"/>
  </dataFields>
  <chartFormats count="1">
    <chartFormat chart="22" format="1"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amazon_sales_data 2025!$A$1:$M$251">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DBF7171-1013-4F3F-B084-42A677D6978A}" name="PivotTable7" cacheId="989" applyNumberFormats="0" applyBorderFormats="0" applyFontFormats="0" applyPatternFormats="0" applyAlignmentFormats="0" applyWidthHeightFormats="1" dataCaption="Values" updatedVersion="8" minRefreshableVersion="3" useAutoFormatting="1" subtotalHiddenItems="1" itemPrintTitles="1" createdVersion="8" indent="0" multipleFieldFilters="0" chartFormat="98">
  <location ref="G6:H70" firstHeaderRow="1" firstDataRow="1" firstDataCol="1"/>
  <pivotFields count="4">
    <pivotField dataField="1" showAll="0"/>
    <pivotField axis="axisRow" allDrilled="1" showAll="0" dataSourceSort="1">
      <items count="61">
        <item x="0" e="0"/>
        <item x="1" e="0"/>
        <item x="2" e="0"/>
        <item x="3" e="0"/>
        <item x="4" e="0"/>
        <item x="5" e="0"/>
        <item x="6" e="0"/>
        <item x="7" e="0"/>
        <item x="8" e="0"/>
        <item x="9" e="0"/>
        <item x="10" e="0"/>
        <item x="11" e="0"/>
        <item x="12" e="0"/>
        <item x="13" e="0"/>
        <item x="14" e="0"/>
        <item x="15" e="0"/>
        <item x="16" e="0"/>
        <item x="17" e="0"/>
        <item x="18" e="0"/>
        <item x="19" e="0"/>
        <item x="20" e="0"/>
        <item x="21" e="0"/>
        <item x="22" e="0"/>
        <item x="23" e="0"/>
        <item x="24" e="0"/>
        <item x="25" e="0"/>
        <item x="26" e="0"/>
        <item x="27" e="0"/>
        <item x="28" e="0"/>
        <item x="29" e="0"/>
        <item x="30" e="0"/>
        <item x="31" e="0"/>
        <item x="32" e="0"/>
        <item x="33" e="0"/>
        <item x="34" e="0"/>
        <item x="35" e="0"/>
        <item x="36" e="0"/>
        <item x="37" e="0"/>
        <item x="38" e="0"/>
        <item x="39" e="0"/>
        <item x="40" e="0"/>
        <item x="41" e="0"/>
        <item x="42" e="0"/>
        <item x="43" e="0"/>
        <item x="44" e="0"/>
        <item x="45" e="0"/>
        <item x="46" e="0"/>
        <item x="47" e="0"/>
        <item x="48" e="0"/>
        <item x="49" e="0"/>
        <item x="50" e="0"/>
        <item x="51" e="0"/>
        <item x="52" e="0"/>
        <item x="53" e="0"/>
        <item x="54" e="0"/>
        <item x="55" e="0"/>
        <item x="56" e="0"/>
        <item x="57" e="0"/>
        <item x="58" e="0"/>
        <item x="59" e="0"/>
        <item t="default"/>
      </items>
    </pivotField>
    <pivotField axis="axisRow" allDrilled="1" showAll="0" dataSourceSort="1" defaultAttributeDrillState="1">
      <items count="4">
        <item x="0"/>
        <item x="1"/>
        <item x="2"/>
        <item t="default"/>
      </items>
    </pivotField>
    <pivotField allDrilled="1" showAll="0" dataSourceSort="1" defaultAttributeDrillState="1"/>
  </pivotFields>
  <rowFields count="2">
    <field x="2"/>
    <field x="1"/>
  </rowFields>
  <rowItems count="64">
    <i>
      <x/>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x v="1"/>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x v="2"/>
    </i>
    <i r="1">
      <x v="58"/>
    </i>
    <i r="1">
      <x v="59"/>
    </i>
    <i t="grand">
      <x/>
    </i>
  </rowItems>
  <colItems count="1">
    <i/>
  </colItems>
  <dataFields count="1">
    <dataField name="Sum of Total Sales" fld="0" baseField="0" baseItem="0"/>
  </dataFields>
  <chartFormats count="7">
    <chartFormat chart="1"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50" format="0" series="1">
      <pivotArea type="data" outline="0" fieldPosition="0">
        <references count="1">
          <reference field="4294967294" count="1" selected="0">
            <x v="0"/>
          </reference>
        </references>
      </pivotArea>
    </chartFormat>
    <chartFormat chart="64" format="0" series="1">
      <pivotArea type="data" outline="0" fieldPosition="0">
        <references count="1">
          <reference field="4294967294" count="1" selected="0">
            <x v="0"/>
          </reference>
        </references>
      </pivotArea>
    </chartFormat>
    <chartFormat chart="67" format="0" series="1">
      <pivotArea type="data" outline="0" fieldPosition="0">
        <references count="1">
          <reference field="4294967294" count="1" selected="0">
            <x v="0"/>
          </reference>
        </references>
      </pivotArea>
    </chartFormat>
    <chartFormat chart="91" format="2"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2"/>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amazon_sales_data 2025!$A$1:$L$251">
        <x15:activeTabTopLevelEntity name="[Range]"/>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A0759F0-598E-42EF-9C87-348B1E817A30}" name="PivotTable3" cacheId="977" applyNumberFormats="0" applyBorderFormats="0" applyFontFormats="0" applyPatternFormats="0" applyAlignmentFormats="0" applyWidthHeightFormats="1" dataCaption="Values" updatedVersion="8" minRefreshableVersion="3" useAutoFormatting="1" subtotalHiddenItems="1" itemPrintTitles="1" createdVersion="8" indent="0" multipleFieldFilters="0">
  <location ref="E3:E4" firstHeaderRow="1" firstDataRow="1" firstDataCol="0"/>
  <pivotFields count="2">
    <pivotField dataField="1" showAll="0"/>
    <pivotField allDrilled="1" showAll="0" dataSourceSort="1" defaultAttributeDrillState="1"/>
  </pivotFields>
  <rowItems count="1">
    <i/>
  </rowItems>
  <colItems count="1">
    <i/>
  </colItems>
  <dataFields count="1">
    <dataField name="Das" fld="0" subtotal="count" baseField="0" baseItem="0">
      <extLst>
        <ext xmlns:x15="http://schemas.microsoft.com/office/spreadsheetml/2010/11/main" uri="{FABC7310-3BB5-11E1-824E-6D434824019B}">
          <x15:dataField isCountDistinct="1"/>
        </ext>
      </extLst>
    </dataField>
  </dataFields>
  <pivotHierarchies count="3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Das"/>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amazon_sales_data 2025!$A$1:$L$251">
        <x15:activeTabTopLevelEntity name="[Range]"/>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C5380CC-B5A6-41A4-A019-8D7B43A94628}" name="PivotTable9" cacheId="995" applyNumberFormats="0" applyBorderFormats="0" applyFontFormats="0" applyPatternFormats="0" applyAlignmentFormats="0" applyWidthHeightFormats="1" dataCaption="Values" updatedVersion="8" minRefreshableVersion="3" useAutoFormatting="1" subtotalHiddenItems="1" itemPrintTitles="1" createdVersion="8" indent="0" multipleFieldFilters="0" chartFormat="97">
  <location ref="A29:B33" firstHeaderRow="1" firstDataRow="1" firstDataCol="1"/>
  <pivotFields count="3">
    <pivotField dataField="1" showAll="0"/>
    <pivotField axis="axisRow" allDrilled="1" showAll="0" dataSourceSort="1" defaultAttributeDrillState="1">
      <items count="4">
        <item x="0"/>
        <item x="1"/>
        <item x="2"/>
        <item t="default"/>
      </items>
    </pivotField>
    <pivotField allDrilled="1" showAll="0" dataSourceSort="1" defaultAttributeDrillState="1"/>
  </pivotFields>
  <rowFields count="1">
    <field x="1"/>
  </rowFields>
  <rowItems count="4">
    <i>
      <x/>
    </i>
    <i>
      <x v="1"/>
    </i>
    <i>
      <x v="2"/>
    </i>
    <i t="grand">
      <x/>
    </i>
  </rowItems>
  <colItems count="1">
    <i/>
  </colItems>
  <dataFields count="1">
    <dataField name="Sum of Total Sales" fld="0" baseField="0" baseItem="0"/>
  </dataFields>
  <chartFormats count="11">
    <chartFormat chart="1"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50" format="0" series="1">
      <pivotArea type="data" outline="0" fieldPosition="0">
        <references count="1">
          <reference field="4294967294" count="1" selected="0">
            <x v="0"/>
          </reference>
        </references>
      </pivotArea>
    </chartFormat>
    <chartFormat chart="64" format="0" series="1">
      <pivotArea type="data" outline="0" fieldPosition="0">
        <references count="1">
          <reference field="4294967294" count="1" selected="0">
            <x v="0"/>
          </reference>
        </references>
      </pivotArea>
    </chartFormat>
    <chartFormat chart="67" format="0" series="1">
      <pivotArea type="data" outline="0" fieldPosition="0">
        <references count="1">
          <reference field="4294967294" count="1" selected="0">
            <x v="0"/>
          </reference>
        </references>
      </pivotArea>
    </chartFormat>
    <chartFormat chart="85" format="0" series="1">
      <pivotArea type="data" outline="0" fieldPosition="0">
        <references count="1">
          <reference field="4294967294" count="1" selected="0">
            <x v="0"/>
          </reference>
        </references>
      </pivotArea>
    </chartFormat>
    <chartFormat chart="89" format="7" series="1">
      <pivotArea type="data" outline="0" fieldPosition="0">
        <references count="1">
          <reference field="4294967294" count="1" selected="0">
            <x v="0"/>
          </reference>
        </references>
      </pivotArea>
    </chartFormat>
    <chartFormat chart="95" format="6" series="1">
      <pivotArea type="data" outline="0" fieldPosition="0">
        <references count="1">
          <reference field="4294967294" count="1" selected="0">
            <x v="0"/>
          </reference>
        </references>
      </pivotArea>
    </chartFormat>
    <chartFormat chart="95" format="7">
      <pivotArea type="data" outline="0" fieldPosition="0">
        <references count="2">
          <reference field="4294967294" count="1" selected="0">
            <x v="0"/>
          </reference>
          <reference field="1" count="1" selected="0">
            <x v="0"/>
          </reference>
        </references>
      </pivotArea>
    </chartFormat>
    <chartFormat chart="95" format="8">
      <pivotArea type="data" outline="0" fieldPosition="0">
        <references count="2">
          <reference field="4294967294" count="1" selected="0">
            <x v="0"/>
          </reference>
          <reference field="1" count="1" selected="0">
            <x v="1"/>
          </reference>
        </references>
      </pivotArea>
    </chartFormat>
    <chartFormat chart="95" format="9">
      <pivotArea type="data" outline="0" fieldPosition="0">
        <references count="2">
          <reference field="4294967294" count="1" selected="0">
            <x v="0"/>
          </reference>
          <reference field="1" count="1" selected="0">
            <x v="2"/>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amazon_sales_data 2025!$A$1:$L$251">
        <x15:activeTabTopLevelEntity name="[Range]"/>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BD2749B-E279-47EC-BCA5-0DDE41BC53BF}" name="PivotTable12" cacheId="965" applyNumberFormats="0" applyBorderFormats="0" applyFontFormats="0" applyPatternFormats="0" applyAlignmentFormats="0" applyWidthHeightFormats="1" dataCaption="Values" updatedVersion="8" minRefreshableVersion="3" useAutoFormatting="1" subtotalHiddenItems="1" itemPrintTitles="1" createdVersion="8" indent="0" multipleFieldFilters="0">
  <location ref="I3:I4" firstHeaderRow="1" firstDataRow="1" firstDataCol="0"/>
  <pivotFields count="2">
    <pivotField dataField="1" showAll="0"/>
    <pivotField allDrilled="1" showAll="0" dataSourceSort="1" defaultAttributeDrillState="1"/>
  </pivotFields>
  <rowItems count="1">
    <i/>
  </rowItems>
  <colItems count="1">
    <i/>
  </colItems>
  <dataFields count="1">
    <dataField name="Sum of Price" fld="0" baseField="0" baseItem="0"/>
  </dataFields>
  <pivotHierarchies count="3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Das"/>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amazon_sales_data 2025!$A$1:$L$251">
        <x15:activeTabTopLevelEntity name="[Range]"/>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81B87B6-B9C7-4CF5-81BF-3E7293717709}" name="PivotTable2" cacheId="974" applyNumberFormats="0" applyBorderFormats="0" applyFontFormats="0" applyPatternFormats="0" applyAlignmentFormats="0" applyWidthHeightFormats="1" dataCaption="Values" updatedVersion="8" minRefreshableVersion="3" useAutoFormatting="1" subtotalHiddenItems="1" itemPrintTitles="1" createdVersion="8" indent="0" multipleFieldFilters="0">
  <location ref="C3:C4" firstHeaderRow="1" firstDataRow="1" firstDataCol="0"/>
  <pivotFields count="2">
    <pivotField dataField="1" showAll="0"/>
    <pivotField allDrilled="1" showAll="0" dataSourceSort="1" defaultAttributeDrillState="1"/>
  </pivotFields>
  <rowItems count="1">
    <i/>
  </rowItems>
  <colItems count="1">
    <i/>
  </colItems>
  <dataFields count="1">
    <dataField name="Sum of Price" fld="0" baseField="0" baseItem="0"/>
  </dataFields>
  <pivotHierarchies count="3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amazon_sales_data 2025!$A$1:$L$251">
        <x15:activeTabTopLevelEntity name="[Range]"/>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342695A-9E71-45D9-9B34-0C93395ACDD8}" name="PivotTable8" cacheId="992" applyNumberFormats="0" applyBorderFormats="0" applyFontFormats="0" applyPatternFormats="0" applyAlignmentFormats="0" applyWidthHeightFormats="1" dataCaption="Values" updatedVersion="8" minRefreshableVersion="3" useAutoFormatting="1" subtotalHiddenItems="1" itemPrintTitles="1" createdVersion="8" indent="0" multipleFieldFilters="0" chartFormat="90">
  <location ref="A20:B26" firstHeaderRow="1" firstDataRow="1" firstDataCol="1"/>
  <pivotFields count="3">
    <pivotField dataField="1" showAll="0"/>
    <pivotField axis="axisRow" allDrilled="1" showAll="0" dataSourceSort="1" defaultAttributeDrillState="1">
      <items count="6">
        <item x="0"/>
        <item x="1"/>
        <item x="2"/>
        <item x="3"/>
        <item x="4"/>
        <item t="default"/>
      </items>
    </pivotField>
    <pivotField allDrilled="1" showAll="0" dataSourceSort="1" defaultAttributeDrillState="1"/>
  </pivotFields>
  <rowFields count="1">
    <field x="1"/>
  </rowFields>
  <rowItems count="6">
    <i>
      <x/>
    </i>
    <i>
      <x v="1"/>
    </i>
    <i>
      <x v="2"/>
    </i>
    <i>
      <x v="3"/>
    </i>
    <i>
      <x v="4"/>
    </i>
    <i t="grand">
      <x/>
    </i>
  </rowItems>
  <colItems count="1">
    <i/>
  </colItems>
  <dataFields count="1">
    <dataField name="Sum of Total Sales" fld="0" baseField="0" baseItem="0"/>
  </dataFields>
  <chartFormats count="11">
    <chartFormat chart="1"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50" format="0" series="1">
      <pivotArea type="data" outline="0" fieldPosition="0">
        <references count="1">
          <reference field="4294967294" count="1" selected="0">
            <x v="0"/>
          </reference>
        </references>
      </pivotArea>
    </chartFormat>
    <chartFormat chart="64" format="0" series="1">
      <pivotArea type="data" outline="0" fieldPosition="0">
        <references count="1">
          <reference field="4294967294" count="1" selected="0">
            <x v="0"/>
          </reference>
        </references>
      </pivotArea>
    </chartFormat>
    <chartFormat chart="67" format="0" series="1">
      <pivotArea type="data" outline="0" fieldPosition="0">
        <references count="1">
          <reference field="4294967294" count="1" selected="0">
            <x v="0"/>
          </reference>
        </references>
      </pivotArea>
    </chartFormat>
    <chartFormat chart="89" format="7" series="1">
      <pivotArea type="data" outline="0" fieldPosition="0">
        <references count="1">
          <reference field="4294967294" count="1" selected="0">
            <x v="0"/>
          </reference>
        </references>
      </pivotArea>
    </chartFormat>
    <chartFormat chart="89" format="8">
      <pivotArea type="data" outline="0" fieldPosition="0">
        <references count="2">
          <reference field="4294967294" count="1" selected="0">
            <x v="0"/>
          </reference>
          <reference field="1" count="1" selected="0">
            <x v="0"/>
          </reference>
        </references>
      </pivotArea>
    </chartFormat>
    <chartFormat chart="89" format="9">
      <pivotArea type="data" outline="0" fieldPosition="0">
        <references count="2">
          <reference field="4294967294" count="1" selected="0">
            <x v="0"/>
          </reference>
          <reference field="1" count="1" selected="0">
            <x v="1"/>
          </reference>
        </references>
      </pivotArea>
    </chartFormat>
    <chartFormat chart="89" format="10">
      <pivotArea type="data" outline="0" fieldPosition="0">
        <references count="2">
          <reference field="4294967294" count="1" selected="0">
            <x v="0"/>
          </reference>
          <reference field="1" count="1" selected="0">
            <x v="2"/>
          </reference>
        </references>
      </pivotArea>
    </chartFormat>
    <chartFormat chart="89" format="11">
      <pivotArea type="data" outline="0" fieldPosition="0">
        <references count="2">
          <reference field="4294967294" count="1" selected="0">
            <x v="0"/>
          </reference>
          <reference field="1" count="1" selected="0">
            <x v="3"/>
          </reference>
        </references>
      </pivotArea>
    </chartFormat>
    <chartFormat chart="89" format="12">
      <pivotArea type="data" outline="0" fieldPosition="0">
        <references count="2">
          <reference field="4294967294" count="1" selected="0">
            <x v="0"/>
          </reference>
          <reference field="1" count="1" selected="0">
            <x v="4"/>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amazon_sales_data 2025!$A$1:$L$251">
        <x15:activeTabTopLevelEntity name="[Range]"/>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07AA4F6-D42F-4E3A-A81C-0DDF59B76784}" name="PivotTable1" cacheId="956" applyNumberFormats="0" applyBorderFormats="0" applyFontFormats="0" applyPatternFormats="0" applyAlignmentFormats="0" applyWidthHeightFormats="1" dataCaption="Values" updatedVersion="8" minRefreshableVersion="3" useAutoFormatting="1" subtotalHiddenItems="1" itemPrintTitles="1" createdVersion="8" indent="0" multipleFieldFilters="0">
  <location ref="A3:A4" firstHeaderRow="1" firstDataRow="1" firstDataCol="0"/>
  <pivotFields count="2">
    <pivotField dataField="1" showAll="0"/>
    <pivotField allDrilled="1" showAll="0" dataSourceSort="1" defaultAttributeDrillState="1"/>
  </pivotFields>
  <rowItems count="1">
    <i/>
  </rowItems>
  <colItems count="1">
    <i/>
  </colItems>
  <dataFields count="1">
    <dataField name="Sum of Total Sales" fld="0" baseField="0" baseItem="0"/>
  </dataFields>
  <pivotHierarchies count="3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amazon_sales_data 2025!$A$1:$L$251">
        <x15:activeTabTopLevelEntity name="[Range]"/>
      </x15:pivotTableUISettings>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9DFE75E-FDF0-4D56-B9BE-C66A16819DBE}" name="PivotTable6" cacheId="986" applyNumberFormats="0" applyBorderFormats="0" applyFontFormats="0" applyPatternFormats="0" applyAlignmentFormats="0" applyWidthHeightFormats="1" dataCaption="Values" updatedVersion="8" minRefreshableVersion="3" useAutoFormatting="1" subtotalHiddenItems="1" itemPrintTitles="1" createdVersion="8" indent="0" multipleFieldFilters="0" chartFormat="24">
  <location ref="D15:E26" firstHeaderRow="1" firstDataRow="1" firstDataCol="1"/>
  <pivotFields count="3">
    <pivotField dataField="1" showAll="0"/>
    <pivotField axis="axisRow" allDrilled="1" showAll="0" sortType="ascending" defaultAttributeDrillState="1">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allDrilled="1" showAll="0" dataSourceSort="1" defaultAttributeDrillState="1"/>
  </pivotFields>
  <rowFields count="1">
    <field x="1"/>
  </rowFields>
  <rowItems count="11">
    <i>
      <x v="8"/>
    </i>
    <i>
      <x v="5"/>
    </i>
    <i>
      <x v="7"/>
    </i>
    <i>
      <x v="1"/>
    </i>
    <i>
      <x/>
    </i>
    <i>
      <x v="9"/>
    </i>
    <i>
      <x v="2"/>
    </i>
    <i>
      <x v="4"/>
    </i>
    <i>
      <x v="3"/>
    </i>
    <i>
      <x v="6"/>
    </i>
    <i t="grand">
      <x/>
    </i>
  </rowItems>
  <colItems count="1">
    <i/>
  </colItems>
  <dataFields count="1">
    <dataField name="Sum of Total Sales" fld="0" baseField="0" baseItem="0"/>
  </dataFields>
  <chartFormats count="4">
    <chartFormat chart="1"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amazon_sales_data 2025!$A$1:$L$251">
        <x15:activeTabTopLevelEntity name="[Range]"/>
      </x15:pivotTableUISettings>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59BE014-D4F4-4E01-984A-98FC8D94EA5E}" name="PivotTable11" cacheId="962" applyNumberFormats="0" applyBorderFormats="0" applyFontFormats="0" applyPatternFormats="0" applyAlignmentFormats="0" applyWidthHeightFormats="1" dataCaption="Values" updatedVersion="8" minRefreshableVersion="3" useAutoFormatting="1" subtotalHiddenItems="1" itemPrintTitles="1" createdVersion="8" indent="0" multipleFieldFilters="0" chartFormat="95">
  <location ref="J6:K17" firstHeaderRow="1" firstDataRow="1" firstDataCol="1"/>
  <pivotFields count="3">
    <pivotField dataField="1" showAll="0"/>
    <pivotField axis="axisRow" allDrilled="1" showAll="0" sortType="ascending" defaultAttributeDrillState="1">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allDrilled="1" showAll="0" dataSourceSort="1" defaultAttributeDrillState="1"/>
  </pivotFields>
  <rowFields count="1">
    <field x="1"/>
  </rowFields>
  <rowItems count="11">
    <i>
      <x/>
    </i>
    <i>
      <x v="8"/>
    </i>
    <i>
      <x v="2"/>
    </i>
    <i>
      <x v="5"/>
    </i>
    <i>
      <x v="1"/>
    </i>
    <i>
      <x v="7"/>
    </i>
    <i>
      <x v="9"/>
    </i>
    <i>
      <x v="6"/>
    </i>
    <i>
      <x v="3"/>
    </i>
    <i>
      <x v="4"/>
    </i>
    <i t="grand">
      <x/>
    </i>
  </rowItems>
  <colItems count="1">
    <i/>
  </colItems>
  <dataFields count="1">
    <dataField name="Sum of Total Sales" fld="0" baseField="0" baseItem="0"/>
  </dataFields>
  <chartFormats count="4">
    <chartFormat chart="1"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70" format="0" series="1">
      <pivotArea type="data" outline="0" fieldPosition="0">
        <references count="1">
          <reference field="4294967294" count="1" selected="0">
            <x v="0"/>
          </reference>
        </references>
      </pivotArea>
    </chartFormat>
    <chartFormat chart="94" format="3"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amazon_sales_data 2025!$A$1:$L$251">
        <x15:activeTabTopLevelEntity name="[Range]"/>
      </x15:pivotTableUISettings>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36A241E-CB66-4939-9537-7BF9D68484BB}" name="PivotTable5" cacheId="983" applyNumberFormats="0" applyBorderFormats="0" applyFontFormats="0" applyPatternFormats="0" applyAlignmentFormats="0" applyWidthHeightFormats="1" dataCaption="Values" updatedVersion="8" minRefreshableVersion="3" useAutoFormatting="1" subtotalHiddenItems="1" itemPrintTitles="1" createdVersion="8" indent="0" multipleFieldFilters="0" chartFormat="74">
  <location ref="D6:E12" firstHeaderRow="1" firstDataRow="1" firstDataCol="1"/>
  <pivotFields count="3">
    <pivotField dataField="1" showAll="0"/>
    <pivotField axis="axisRow" allDrilled="1" showAll="0" dataSourceSort="1" defaultAttributeDrillState="1">
      <items count="6">
        <item x="0"/>
        <item x="1"/>
        <item x="2"/>
        <item x="3"/>
        <item x="4"/>
        <item t="default"/>
      </items>
    </pivotField>
    <pivotField allDrilled="1" showAll="0" dataSourceSort="1" defaultAttributeDrillState="1"/>
  </pivotFields>
  <rowFields count="1">
    <field x="1"/>
  </rowFields>
  <rowItems count="6">
    <i>
      <x/>
    </i>
    <i>
      <x v="1"/>
    </i>
    <i>
      <x v="2"/>
    </i>
    <i>
      <x v="3"/>
    </i>
    <i>
      <x v="4"/>
    </i>
    <i t="grand">
      <x/>
    </i>
  </rowItems>
  <colItems count="1">
    <i/>
  </colItems>
  <dataFields count="1">
    <dataField name="Sum of Total Sales" fld="0" baseField="0" baseItem="0"/>
  </dataFields>
  <chartFormats count="2">
    <chartFormat chart="1"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amazon_sales_data 2025!$A$1:$L$251">
        <x15:activeTabTopLevelEntity name="[Range]"/>
      </x15:pivotTableUISettings>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43477E3-663D-43A9-B0FA-11589D9CF077}" name="PivotTable4" cacheId="980" applyNumberFormats="0" applyBorderFormats="0" applyFontFormats="0" applyPatternFormats="0" applyAlignmentFormats="0" applyWidthHeightFormats="1" dataCaption="Values" updatedVersion="8" minRefreshableVersion="3" useAutoFormatting="1" subtotalHiddenItems="1" itemPrintTitles="1" createdVersion="8" indent="0" multipleFieldFilters="0" chartFormat="9">
  <location ref="A6:B17" firstHeaderRow="1" firstDataRow="1" firstDataCol="1"/>
  <pivotFields count="3">
    <pivotField dataField="1" showAll="0"/>
    <pivotField axis="axisRow" allDrilled="1" showAll="0" dataSourceSort="1" defaultAttributeDrillState="1">
      <items count="11">
        <item x="0"/>
        <item x="1"/>
        <item x="2"/>
        <item x="3"/>
        <item x="4"/>
        <item x="5"/>
        <item x="6"/>
        <item x="7"/>
        <item x="8"/>
        <item x="9"/>
        <item t="default"/>
      </items>
    </pivotField>
    <pivotField allDrilled="1" showAll="0" dataSourceSort="1" defaultAttributeDrillState="1"/>
  </pivotFields>
  <rowFields count="1">
    <field x="1"/>
  </rowFields>
  <rowItems count="11">
    <i>
      <x/>
    </i>
    <i>
      <x v="1"/>
    </i>
    <i>
      <x v="2"/>
    </i>
    <i>
      <x v="3"/>
    </i>
    <i>
      <x v="4"/>
    </i>
    <i>
      <x v="5"/>
    </i>
    <i>
      <x v="6"/>
    </i>
    <i>
      <x v="7"/>
    </i>
    <i>
      <x v="8"/>
    </i>
    <i>
      <x v="9"/>
    </i>
    <i t="grand">
      <x/>
    </i>
  </rowItems>
  <colItems count="1">
    <i/>
  </colItems>
  <dataFields count="1">
    <dataField name="Sum of Total Sales" fld="0" baseField="0" baseItem="0"/>
  </dataFields>
  <chartFormats count="1">
    <chartFormat chart="8" format="2"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amazon_sales_data 2025!$A$1:$L$251">
        <x15:activeTabTopLevelEntity name="[Range]"/>
      </x15:pivotTableUISettings>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88EA4B3A-1402-43AF-816B-EE8A8FB1A938}" name="PivotTable10" cacheId="959" applyNumberFormats="0" applyBorderFormats="0" applyFontFormats="0" applyPatternFormats="0" applyAlignmentFormats="0" applyWidthHeightFormats="1" dataCaption="Values" updatedVersion="8" minRefreshableVersion="3" useAutoFormatting="1" subtotalHiddenItems="1" itemPrintTitles="1" createdVersion="8" indent="0" multipleFieldFilters="0">
  <location ref="G3:G4" firstHeaderRow="1" firstDataRow="1" firstDataCol="0"/>
  <pivotFields count="2">
    <pivotField dataField="1" showAll="0"/>
    <pivotField allDrilled="1" showAll="0" dataSourceSort="1" defaultAttributeDrillState="1"/>
  </pivotFields>
  <rowItems count="1">
    <i/>
  </rowItems>
  <colItems count="1">
    <i/>
  </colItems>
  <dataFields count="1">
    <dataField name="Sum of Quantity" fld="0" baseField="0" baseItem="0"/>
  </dataFields>
  <pivotHierarchies count="3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Das"/>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amazon_sales_data 2025!$A$1:$L$251">
        <x15:activeTabTopLevelEntity name="[Range]"/>
      </x15:pivotTableUISettings>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BEFAAB02-FD15-4621-88C3-CF9D0ADE7424}" name="PivotTable14" cacheId="971" applyNumberFormats="0" applyBorderFormats="0" applyFontFormats="0" applyPatternFormats="0" applyAlignmentFormats="0" applyWidthHeightFormats="1" dataCaption="Values" updatedVersion="8" minRefreshableVersion="3" useAutoFormatting="1" subtotalHiddenItems="1" itemPrintTitles="1" createdVersion="8" indent="0" multipleFieldFilters="0" chartFormat="78">
  <location ref="M20:N24" firstHeaderRow="1" firstDataRow="1" firstDataCol="1"/>
  <pivotFields count="2">
    <pivotField axis="axisRow" allDrilled="1" showAll="0" dataSourceSort="1" defaultAttributeDrillState="1">
      <items count="4">
        <item x="0"/>
        <item x="1"/>
        <item x="2"/>
        <item t="default"/>
      </items>
    </pivotField>
    <pivotField dataField="1" showAll="0"/>
  </pivotFields>
  <rowFields count="1">
    <field x="0"/>
  </rowFields>
  <rowItems count="4">
    <i>
      <x/>
    </i>
    <i>
      <x v="1"/>
    </i>
    <i>
      <x v="2"/>
    </i>
    <i t="grand">
      <x/>
    </i>
  </rowItems>
  <colItems count="1">
    <i/>
  </colItems>
  <dataFields count="1">
    <dataField name="Sum of Total Sales" fld="1" baseField="0" baseItem="0"/>
  </dataFields>
  <pivotHierarchies count="3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amazon_sales_data 2025!$A$1:$L$251">
        <x15:activeTabTopLevelEntity name="[Range]"/>
      </x15:pivotTableUISettings>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413A4050-6027-4E65-9F6A-24B1A73AFDEC}" name="PivotTable13" cacheId="968" applyNumberFormats="0" applyBorderFormats="0" applyFontFormats="0" applyPatternFormats="0" applyAlignmentFormats="0" applyWidthHeightFormats="1" dataCaption="Values" updatedVersion="8" minRefreshableVersion="3" useAutoFormatting="1" subtotalHiddenItems="1" itemPrintTitles="1" createdVersion="8" indent="0" multipleFieldFilters="0" chartFormat="78">
  <location ref="J21:K27" firstHeaderRow="1" firstDataRow="1" firstDataCol="1"/>
  <pivotFields count="3">
    <pivotField axis="axisRow" allDrilled="1" showAll="0" dataSourceSort="1" defaultAttributeDrillState="1">
      <items count="6">
        <item x="0"/>
        <item x="1"/>
        <item x="2"/>
        <item x="3"/>
        <item x="4"/>
        <item t="default"/>
      </items>
    </pivotField>
    <pivotField dataField="1" showAll="0"/>
    <pivotField allDrilled="1" showAll="0" dataSourceSort="1" defaultAttributeDrillState="1"/>
  </pivotFields>
  <rowFields count="1">
    <field x="0"/>
  </rowFields>
  <rowItems count="6">
    <i>
      <x/>
    </i>
    <i>
      <x v="1"/>
    </i>
    <i>
      <x v="2"/>
    </i>
    <i>
      <x v="3"/>
    </i>
    <i>
      <x v="4"/>
    </i>
    <i t="grand">
      <x/>
    </i>
  </rowItems>
  <colItems count="1">
    <i/>
  </colItems>
  <dataFields count="1">
    <dataField name="Sum of Quantity" fld="1" baseField="0" baseItem="0"/>
  </dataFields>
  <chartFormats count="1">
    <chartFormat chart="77" format="2"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amazon_sales_data 2025!$A$1:$L$251">
        <x15:activeTabTopLevelEntity name="[Range]"/>
      </x15:pivotTableUISettings>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D0DF8835-61D6-4CA7-BD13-34D94CD04316}" sourceName="[Range].[Month]">
  <pivotTables>
    <pivotTable tabId="2" name="PivotTable1"/>
    <pivotTable tabId="2" name="PivotTable10"/>
    <pivotTable tabId="2" name="PivotTable11"/>
    <pivotTable tabId="2" name="PivotTable12"/>
    <pivotTable tabId="2" name="PivotTable13"/>
    <pivotTable tabId="2" name="PivotTable14"/>
    <pivotTable tabId="2" name="PivotTable2"/>
    <pivotTable tabId="2" name="PivotTable3"/>
    <pivotTable tabId="2" name="PivotTable4"/>
    <pivotTable tabId="2" name="PivotTable5"/>
    <pivotTable tabId="2" name="PivotTable6"/>
    <pivotTable tabId="2" name="PivotTable7"/>
    <pivotTable tabId="2" name="PivotTable8"/>
    <pivotTable tabId="2" name="PivotTable9"/>
  </pivotTables>
  <data>
    <olap pivotCacheId="404093886">
      <levels count="2">
        <level uniqueName="[Range].[Month].[(All)]" sourceCaption="(All)" count="0"/>
        <level uniqueName="[Range].[Month].[Month]" sourceCaption="Month" count="3">
          <ranges>
            <range startItem="0">
              <i n="[Range].[Month].&amp;[Apr-2025]" c="Apr-2025"/>
              <i n="[Range].[Month].&amp;[Feb-2025]" c="Feb-2025"/>
              <i n="[Range].[Month].&amp;[Mar-2025]" c="Mar-2025"/>
            </range>
          </ranges>
        </level>
      </levels>
      <selections count="1">
        <selection n="[Range].[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1F8D0F52-3C50-40C0-88E6-03A83277039C}" sourceName="[Range].[Category]">
  <pivotTables>
    <pivotTable tabId="2" name="PivotTable1"/>
    <pivotTable tabId="2" name="PivotTable10"/>
    <pivotTable tabId="2" name="PivotTable11"/>
    <pivotTable tabId="2" name="PivotTable12"/>
    <pivotTable tabId="2" name="PivotTable13"/>
    <pivotTable tabId="2" name="PivotTable14"/>
    <pivotTable tabId="2" name="PivotTable2"/>
    <pivotTable tabId="2" name="PivotTable3"/>
    <pivotTable tabId="2" name="PivotTable4"/>
    <pivotTable tabId="2" name="PivotTable5"/>
    <pivotTable tabId="2" name="PivotTable6"/>
    <pivotTable tabId="2" name="PivotTable7"/>
    <pivotTable tabId="2" name="PivotTable8"/>
    <pivotTable tabId="2" name="PivotTable9"/>
  </pivotTables>
  <data>
    <olap pivotCacheId="404093886">
      <levels count="2">
        <level uniqueName="[Range].[Category].[(All)]" sourceCaption="(All)" count="0"/>
        <level uniqueName="[Range].[Category].[Category]" sourceCaption="Category" count="5">
          <ranges>
            <range startItem="0">
              <i n="[Range].[Category].&amp;[Books]" c="Books"/>
              <i n="[Range].[Category].&amp;[Clothing]" c="Clothing"/>
              <i n="[Range].[Category].&amp;[Electronics]" c="Electronics"/>
              <i n="[Range].[Category].&amp;[Footwear]" c="Footwear"/>
              <i n="[Range].[Category].&amp;[Home Appliances]" c="Home Appliances"/>
            </range>
          </ranges>
        </level>
      </levels>
      <selections count="1">
        <selection n="[Range].[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9E71EF41-334C-4282-AA1E-A8694D5B3460}" cache="Slicer_Category" caption="Category" level="1" style="SlicerStyleLight3"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E2659B93-CE4A-456A-9D47-21B34F60EB25}" cache="Slicer_Month" caption="Month" columnCount="3" level="1" style="SlicerStyleLight5" rowHeight="257175"/>
  <slicer name="Category" xr10:uid="{A965334F-DF16-408D-A303-53D89663F659}" cache="Slicer_Category" caption="Category" level="1" style="SlicerStyleLight3"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microsoft.com/office/2007/relationships/slicer" Target="../slicers/slicer1.xml"/><Relationship Id="rId2" Type="http://schemas.openxmlformats.org/officeDocument/2006/relationships/pivotTable" Target="../pivotTables/pivotTable2.xml"/><Relationship Id="rId16" Type="http://schemas.openxmlformats.org/officeDocument/2006/relationships/drawing" Target="../drawings/drawing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21F697-3D1B-4D51-A303-2D8322D135F2}">
  <dimension ref="A1:M253"/>
  <sheetViews>
    <sheetView topLeftCell="E229" workbookViewId="0">
      <selection sqref="A1:M251"/>
    </sheetView>
  </sheetViews>
  <sheetFormatPr defaultRowHeight="15" x14ac:dyDescent="0.25"/>
  <cols>
    <col min="1" max="1" width="8.85546875" bestFit="1" customWidth="1"/>
    <col min="2" max="2" width="10.42578125" style="1" bestFit="1" customWidth="1"/>
    <col min="3" max="3" width="16.85546875" bestFit="1" customWidth="1"/>
    <col min="4" max="4" width="16.5703125" bestFit="1" customWidth="1"/>
    <col min="5" max="5" width="7.5703125" style="5" bestFit="1" customWidth="1"/>
    <col min="6" max="6" width="8.42578125" bestFit="1" customWidth="1"/>
    <col min="7" max="7" width="10.5703125" style="7" bestFit="1" customWidth="1"/>
    <col min="8" max="8" width="15.28515625" bestFit="1" customWidth="1"/>
    <col min="9" max="9" width="17.7109375" bestFit="1" customWidth="1"/>
    <col min="10" max="10" width="15.7109375" bestFit="1" customWidth="1"/>
    <col min="11" max="11" width="10.42578125" bestFit="1" customWidth="1"/>
    <col min="12" max="12" width="15.42578125" customWidth="1"/>
    <col min="13" max="13" width="14.42578125" bestFit="1" customWidth="1"/>
  </cols>
  <sheetData>
    <row r="1" spans="1:13" x14ac:dyDescent="0.25">
      <c r="A1" s="2" t="s">
        <v>0</v>
      </c>
      <c r="B1" s="3" t="s">
        <v>1</v>
      </c>
      <c r="C1" s="2" t="s">
        <v>2</v>
      </c>
      <c r="D1" s="2" t="s">
        <v>3</v>
      </c>
      <c r="E1" s="4" t="s">
        <v>4</v>
      </c>
      <c r="F1" s="2" t="s">
        <v>5</v>
      </c>
      <c r="G1" s="6" t="s">
        <v>6</v>
      </c>
      <c r="H1" t="s">
        <v>7</v>
      </c>
      <c r="I1" t="s">
        <v>8</v>
      </c>
      <c r="J1" t="s">
        <v>9</v>
      </c>
      <c r="K1" t="s">
        <v>10</v>
      </c>
      <c r="L1" t="s">
        <v>304</v>
      </c>
      <c r="M1" t="s">
        <v>317</v>
      </c>
    </row>
    <row r="2" spans="1:13" x14ac:dyDescent="0.25">
      <c r="A2" s="2" t="s">
        <v>11</v>
      </c>
      <c r="B2" s="3">
        <v>45730</v>
      </c>
      <c r="C2" s="2" t="s">
        <v>12</v>
      </c>
      <c r="D2" s="2" t="s">
        <v>13</v>
      </c>
      <c r="E2" s="4">
        <v>60</v>
      </c>
      <c r="F2" s="2">
        <v>3</v>
      </c>
      <c r="G2" s="6">
        <v>180</v>
      </c>
      <c r="H2" t="s">
        <v>14</v>
      </c>
      <c r="I2" t="s">
        <v>15</v>
      </c>
      <c r="J2" t="s">
        <v>16</v>
      </c>
      <c r="K2" t="s">
        <v>17</v>
      </c>
      <c r="L2" t="str">
        <f>TEXT(B2,"MMM-YYYY")</f>
        <v>Mar-2025</v>
      </c>
      <c r="M2" s="11" t="str">
        <f>TEXT(B2,"mmm-yyyy")&amp;"-week"&amp;INT((DAY(B2)-1)/7)+1</f>
        <v>Mar-2025-week2</v>
      </c>
    </row>
    <row r="3" spans="1:13" x14ac:dyDescent="0.25">
      <c r="A3" s="2" t="s">
        <v>18</v>
      </c>
      <c r="B3" s="3">
        <v>45736</v>
      </c>
      <c r="C3" s="2" t="s">
        <v>19</v>
      </c>
      <c r="D3" s="2" t="s">
        <v>20</v>
      </c>
      <c r="E3" s="4">
        <v>100</v>
      </c>
      <c r="F3" s="2">
        <v>4</v>
      </c>
      <c r="G3" s="6">
        <v>400</v>
      </c>
      <c r="H3" t="s">
        <v>21</v>
      </c>
      <c r="I3" t="s">
        <v>22</v>
      </c>
      <c r="J3" t="s">
        <v>16</v>
      </c>
      <c r="K3" t="s">
        <v>23</v>
      </c>
      <c r="L3" t="str">
        <f t="shared" ref="L3:L66" si="0">TEXT(B3,"MMM-YYYY")</f>
        <v>Mar-2025</v>
      </c>
      <c r="M3" s="11" t="str">
        <f t="shared" ref="M3:M66" si="1">TEXT(B3,"mmm-yyyy")&amp;"-week"&amp;INT((DAY(B3)-1)/7)+1</f>
        <v>Mar-2025-week3</v>
      </c>
    </row>
    <row r="4" spans="1:13" x14ac:dyDescent="0.25">
      <c r="A4" s="2" t="s">
        <v>24</v>
      </c>
      <c r="B4" s="3">
        <v>45703</v>
      </c>
      <c r="C4" s="2" t="s">
        <v>12</v>
      </c>
      <c r="D4" s="2" t="s">
        <v>13</v>
      </c>
      <c r="E4" s="4">
        <v>60</v>
      </c>
      <c r="F4" s="2">
        <v>2</v>
      </c>
      <c r="G4" s="6">
        <v>120</v>
      </c>
      <c r="H4" t="s">
        <v>25</v>
      </c>
      <c r="I4" t="s">
        <v>26</v>
      </c>
      <c r="J4" t="s">
        <v>27</v>
      </c>
      <c r="K4" t="s">
        <v>17</v>
      </c>
      <c r="L4" t="str">
        <f t="shared" si="0"/>
        <v>Feb-2025</v>
      </c>
      <c r="M4" s="11" t="str">
        <f t="shared" si="1"/>
        <v>Feb-2025-week3</v>
      </c>
    </row>
    <row r="5" spans="1:13" x14ac:dyDescent="0.25">
      <c r="A5" s="2" t="s">
        <v>28</v>
      </c>
      <c r="B5" s="3">
        <v>45707</v>
      </c>
      <c r="C5" s="2" t="s">
        <v>12</v>
      </c>
      <c r="D5" s="2" t="s">
        <v>13</v>
      </c>
      <c r="E5" s="4">
        <v>60</v>
      </c>
      <c r="F5" s="2">
        <v>3</v>
      </c>
      <c r="G5" s="6">
        <v>180</v>
      </c>
      <c r="H5" t="s">
        <v>29</v>
      </c>
      <c r="I5" t="s">
        <v>30</v>
      </c>
      <c r="J5" t="s">
        <v>31</v>
      </c>
      <c r="K5" t="s">
        <v>23</v>
      </c>
      <c r="L5" t="str">
        <f t="shared" si="0"/>
        <v>Feb-2025</v>
      </c>
      <c r="M5" s="11" t="str">
        <f t="shared" si="1"/>
        <v>Feb-2025-week3</v>
      </c>
    </row>
    <row r="6" spans="1:13" x14ac:dyDescent="0.25">
      <c r="A6" s="2" t="s">
        <v>32</v>
      </c>
      <c r="B6" s="3">
        <v>45726</v>
      </c>
      <c r="C6" s="2" t="s">
        <v>33</v>
      </c>
      <c r="D6" s="2" t="s">
        <v>20</v>
      </c>
      <c r="E6" s="4">
        <v>150</v>
      </c>
      <c r="F6" s="2">
        <v>3</v>
      </c>
      <c r="G6" s="6">
        <v>450</v>
      </c>
      <c r="H6" t="s">
        <v>14</v>
      </c>
      <c r="I6" t="s">
        <v>15</v>
      </c>
      <c r="J6" t="s">
        <v>16</v>
      </c>
      <c r="K6" t="s">
        <v>23</v>
      </c>
      <c r="L6" t="str">
        <f t="shared" si="0"/>
        <v>Mar-2025</v>
      </c>
      <c r="M6" s="11" t="str">
        <f t="shared" si="1"/>
        <v>Mar-2025-week2</v>
      </c>
    </row>
    <row r="7" spans="1:13" x14ac:dyDescent="0.25">
      <c r="A7" s="2" t="s">
        <v>34</v>
      </c>
      <c r="B7" s="3">
        <v>45730</v>
      </c>
      <c r="C7" s="2" t="s">
        <v>35</v>
      </c>
      <c r="D7" s="2" t="s">
        <v>36</v>
      </c>
      <c r="E7" s="4">
        <v>20</v>
      </c>
      <c r="F7" s="2">
        <v>1</v>
      </c>
      <c r="G7" s="6">
        <v>20</v>
      </c>
      <c r="H7" t="s">
        <v>25</v>
      </c>
      <c r="I7" t="s">
        <v>30</v>
      </c>
      <c r="J7" t="s">
        <v>31</v>
      </c>
      <c r="K7" t="s">
        <v>23</v>
      </c>
      <c r="L7" t="str">
        <f t="shared" si="0"/>
        <v>Mar-2025</v>
      </c>
      <c r="M7" s="11" t="str">
        <f t="shared" si="1"/>
        <v>Mar-2025-week2</v>
      </c>
    </row>
    <row r="8" spans="1:13" x14ac:dyDescent="0.25">
      <c r="A8" s="2" t="s">
        <v>37</v>
      </c>
      <c r="B8" s="3">
        <v>45734</v>
      </c>
      <c r="C8" s="2" t="s">
        <v>33</v>
      </c>
      <c r="D8" s="2" t="s">
        <v>20</v>
      </c>
      <c r="E8" s="4">
        <v>150</v>
      </c>
      <c r="F8" s="2">
        <v>4</v>
      </c>
      <c r="G8" s="6">
        <v>600</v>
      </c>
      <c r="H8" t="s">
        <v>14</v>
      </c>
      <c r="I8" t="s">
        <v>38</v>
      </c>
      <c r="J8" t="s">
        <v>39</v>
      </c>
      <c r="K8" t="s">
        <v>40</v>
      </c>
      <c r="L8" t="str">
        <f t="shared" si="0"/>
        <v>Mar-2025</v>
      </c>
      <c r="M8" s="11" t="str">
        <f t="shared" si="1"/>
        <v>Mar-2025-week3</v>
      </c>
    </row>
    <row r="9" spans="1:13" x14ac:dyDescent="0.25">
      <c r="A9" s="2" t="s">
        <v>41</v>
      </c>
      <c r="B9" s="3">
        <v>45718</v>
      </c>
      <c r="C9" s="2" t="s">
        <v>42</v>
      </c>
      <c r="D9" s="2" t="s">
        <v>20</v>
      </c>
      <c r="E9" s="4">
        <v>500</v>
      </c>
      <c r="F9" s="2">
        <v>1</v>
      </c>
      <c r="G9" s="6">
        <v>500</v>
      </c>
      <c r="H9" t="s">
        <v>43</v>
      </c>
      <c r="I9" t="s">
        <v>44</v>
      </c>
      <c r="J9" t="s">
        <v>39</v>
      </c>
      <c r="K9" t="s">
        <v>40</v>
      </c>
      <c r="L9" t="str">
        <f t="shared" si="0"/>
        <v>Mar-2025</v>
      </c>
      <c r="M9" s="11" t="str">
        <f t="shared" si="1"/>
        <v>Mar-2025-week1</v>
      </c>
    </row>
    <row r="10" spans="1:13" x14ac:dyDescent="0.25">
      <c r="A10" s="2" t="s">
        <v>45</v>
      </c>
      <c r="B10" s="3">
        <v>45724</v>
      </c>
      <c r="C10" s="2" t="s">
        <v>35</v>
      </c>
      <c r="D10" s="2" t="s">
        <v>36</v>
      </c>
      <c r="E10" s="4">
        <v>20</v>
      </c>
      <c r="F10" s="2">
        <v>3</v>
      </c>
      <c r="G10" s="6">
        <v>60</v>
      </c>
      <c r="H10" t="s">
        <v>43</v>
      </c>
      <c r="I10" t="s">
        <v>46</v>
      </c>
      <c r="J10" t="s">
        <v>39</v>
      </c>
      <c r="K10" t="s">
        <v>40</v>
      </c>
      <c r="L10" t="str">
        <f t="shared" si="0"/>
        <v>Mar-2025</v>
      </c>
      <c r="M10" s="11" t="str">
        <f t="shared" si="1"/>
        <v>Mar-2025-week2</v>
      </c>
    </row>
    <row r="11" spans="1:13" x14ac:dyDescent="0.25">
      <c r="A11" s="2" t="s">
        <v>47</v>
      </c>
      <c r="B11" s="3">
        <v>45728</v>
      </c>
      <c r="C11" s="2" t="s">
        <v>42</v>
      </c>
      <c r="D11" s="2" t="s">
        <v>20</v>
      </c>
      <c r="E11" s="4">
        <v>500</v>
      </c>
      <c r="F11" s="2">
        <v>1</v>
      </c>
      <c r="G11" s="6">
        <v>500</v>
      </c>
      <c r="H11" t="s">
        <v>21</v>
      </c>
      <c r="I11" t="s">
        <v>22</v>
      </c>
      <c r="J11" t="s">
        <v>31</v>
      </c>
      <c r="K11" t="s">
        <v>17</v>
      </c>
      <c r="L11" t="str">
        <f t="shared" si="0"/>
        <v>Mar-2025</v>
      </c>
      <c r="M11" s="11" t="str">
        <f t="shared" si="1"/>
        <v>Mar-2025-week2</v>
      </c>
    </row>
    <row r="12" spans="1:13" x14ac:dyDescent="0.25">
      <c r="A12" s="2" t="s">
        <v>48</v>
      </c>
      <c r="B12" s="3">
        <v>45705</v>
      </c>
      <c r="C12" s="2" t="s">
        <v>49</v>
      </c>
      <c r="D12" s="2" t="s">
        <v>50</v>
      </c>
      <c r="E12" s="4">
        <v>15</v>
      </c>
      <c r="F12" s="2">
        <v>2</v>
      </c>
      <c r="G12" s="6">
        <v>30</v>
      </c>
      <c r="H12" t="s">
        <v>51</v>
      </c>
      <c r="I12" t="s">
        <v>46</v>
      </c>
      <c r="J12" t="s">
        <v>27</v>
      </c>
      <c r="K12" t="s">
        <v>23</v>
      </c>
      <c r="L12" t="str">
        <f t="shared" si="0"/>
        <v>Feb-2025</v>
      </c>
      <c r="M12" s="11" t="str">
        <f t="shared" si="1"/>
        <v>Feb-2025-week3</v>
      </c>
    </row>
    <row r="13" spans="1:13" x14ac:dyDescent="0.25">
      <c r="A13" s="2" t="s">
        <v>52</v>
      </c>
      <c r="B13" s="3">
        <v>45729</v>
      </c>
      <c r="C13" s="2" t="s">
        <v>53</v>
      </c>
      <c r="D13" s="2" t="s">
        <v>36</v>
      </c>
      <c r="E13" s="4">
        <v>40</v>
      </c>
      <c r="F13" s="2">
        <v>4</v>
      </c>
      <c r="G13" s="6">
        <v>160</v>
      </c>
      <c r="H13" t="s">
        <v>54</v>
      </c>
      <c r="I13" t="s">
        <v>30</v>
      </c>
      <c r="J13" t="s">
        <v>31</v>
      </c>
      <c r="K13" t="s">
        <v>40</v>
      </c>
      <c r="L13" t="str">
        <f t="shared" si="0"/>
        <v>Mar-2025</v>
      </c>
      <c r="M13" s="11" t="str">
        <f t="shared" si="1"/>
        <v>Mar-2025-week2</v>
      </c>
    </row>
    <row r="14" spans="1:13" x14ac:dyDescent="0.25">
      <c r="A14" s="2" t="s">
        <v>55</v>
      </c>
      <c r="B14" s="3">
        <v>45717</v>
      </c>
      <c r="C14" s="2" t="s">
        <v>56</v>
      </c>
      <c r="D14" s="2" t="s">
        <v>20</v>
      </c>
      <c r="E14" s="4">
        <v>800</v>
      </c>
      <c r="F14" s="2">
        <v>2</v>
      </c>
      <c r="G14" s="6">
        <v>1600</v>
      </c>
      <c r="H14" t="s">
        <v>57</v>
      </c>
      <c r="I14" t="s">
        <v>22</v>
      </c>
      <c r="J14" t="s">
        <v>58</v>
      </c>
      <c r="K14" t="s">
        <v>23</v>
      </c>
      <c r="L14" t="str">
        <f t="shared" si="0"/>
        <v>Mar-2025</v>
      </c>
      <c r="M14" s="11" t="str">
        <f t="shared" si="1"/>
        <v>Mar-2025-week1</v>
      </c>
    </row>
    <row r="15" spans="1:13" x14ac:dyDescent="0.25">
      <c r="A15" s="2" t="s">
        <v>59</v>
      </c>
      <c r="B15" s="3">
        <v>45720</v>
      </c>
      <c r="C15" s="2" t="s">
        <v>60</v>
      </c>
      <c r="D15" s="2" t="s">
        <v>61</v>
      </c>
      <c r="E15" s="4">
        <v>600</v>
      </c>
      <c r="F15" s="2">
        <v>3</v>
      </c>
      <c r="G15" s="6">
        <v>1800</v>
      </c>
      <c r="H15" t="s">
        <v>54</v>
      </c>
      <c r="I15" t="s">
        <v>44</v>
      </c>
      <c r="J15" t="s">
        <v>31</v>
      </c>
      <c r="K15" t="s">
        <v>17</v>
      </c>
      <c r="L15" t="str">
        <f t="shared" si="0"/>
        <v>Mar-2025</v>
      </c>
      <c r="M15" s="11" t="str">
        <f t="shared" si="1"/>
        <v>Mar-2025-week1</v>
      </c>
    </row>
    <row r="16" spans="1:13" x14ac:dyDescent="0.25">
      <c r="A16" s="2" t="s">
        <v>62</v>
      </c>
      <c r="B16" s="3">
        <v>45708</v>
      </c>
      <c r="C16" s="2" t="s">
        <v>33</v>
      </c>
      <c r="D16" s="2" t="s">
        <v>20</v>
      </c>
      <c r="E16" s="4">
        <v>150</v>
      </c>
      <c r="F16" s="2">
        <v>4</v>
      </c>
      <c r="G16" s="6">
        <v>600</v>
      </c>
      <c r="H16" t="s">
        <v>25</v>
      </c>
      <c r="I16" t="s">
        <v>63</v>
      </c>
      <c r="J16" t="s">
        <v>31</v>
      </c>
      <c r="K16" t="s">
        <v>40</v>
      </c>
      <c r="L16" t="str">
        <f t="shared" si="0"/>
        <v>Feb-2025</v>
      </c>
      <c r="M16" s="11" t="str">
        <f t="shared" si="1"/>
        <v>Feb-2025-week3</v>
      </c>
    </row>
    <row r="17" spans="1:13" x14ac:dyDescent="0.25">
      <c r="A17" s="2" t="s">
        <v>64</v>
      </c>
      <c r="B17" s="3">
        <v>45714</v>
      </c>
      <c r="C17" s="2" t="s">
        <v>65</v>
      </c>
      <c r="D17" s="2" t="s">
        <v>61</v>
      </c>
      <c r="E17" s="4">
        <v>1200</v>
      </c>
      <c r="F17" s="2">
        <v>1</v>
      </c>
      <c r="G17" s="6">
        <v>1200</v>
      </c>
      <c r="H17" t="s">
        <v>25</v>
      </c>
      <c r="I17" t="s">
        <v>46</v>
      </c>
      <c r="J17" t="s">
        <v>31</v>
      </c>
      <c r="K17" t="s">
        <v>17</v>
      </c>
      <c r="L17" t="str">
        <f t="shared" si="0"/>
        <v>Feb-2025</v>
      </c>
      <c r="M17" s="11" t="str">
        <f t="shared" si="1"/>
        <v>Feb-2025-week4</v>
      </c>
    </row>
    <row r="18" spans="1:13" x14ac:dyDescent="0.25">
      <c r="A18" s="2" t="s">
        <v>66</v>
      </c>
      <c r="B18" s="3">
        <v>45748</v>
      </c>
      <c r="C18" s="2" t="s">
        <v>35</v>
      </c>
      <c r="D18" s="2" t="s">
        <v>36</v>
      </c>
      <c r="E18" s="4">
        <v>20</v>
      </c>
      <c r="F18" s="2">
        <v>1</v>
      </c>
      <c r="G18" s="6">
        <v>20</v>
      </c>
      <c r="H18" t="s">
        <v>14</v>
      </c>
      <c r="I18" t="s">
        <v>15</v>
      </c>
      <c r="J18" t="s">
        <v>27</v>
      </c>
      <c r="K18" t="s">
        <v>40</v>
      </c>
      <c r="L18" t="str">
        <f t="shared" si="0"/>
        <v>Apr-2025</v>
      </c>
      <c r="M18" s="11" t="str">
        <f t="shared" si="1"/>
        <v>Apr-2025-week1</v>
      </c>
    </row>
    <row r="19" spans="1:13" x14ac:dyDescent="0.25">
      <c r="A19" s="2" t="s">
        <v>67</v>
      </c>
      <c r="B19" s="3">
        <v>45698</v>
      </c>
      <c r="C19" s="2" t="s">
        <v>42</v>
      </c>
      <c r="D19" s="2" t="s">
        <v>20</v>
      </c>
      <c r="E19" s="4">
        <v>500</v>
      </c>
      <c r="F19" s="2">
        <v>2</v>
      </c>
      <c r="G19" s="6">
        <v>1000</v>
      </c>
      <c r="H19" t="s">
        <v>54</v>
      </c>
      <c r="I19" t="s">
        <v>68</v>
      </c>
      <c r="J19" t="s">
        <v>27</v>
      </c>
      <c r="K19" t="s">
        <v>40</v>
      </c>
      <c r="L19" t="str">
        <f t="shared" si="0"/>
        <v>Feb-2025</v>
      </c>
      <c r="M19" s="11" t="str">
        <f t="shared" si="1"/>
        <v>Feb-2025-week2</v>
      </c>
    </row>
    <row r="20" spans="1:13" x14ac:dyDescent="0.25">
      <c r="A20" s="2" t="s">
        <v>69</v>
      </c>
      <c r="B20" s="3">
        <v>45738</v>
      </c>
      <c r="C20" s="2" t="s">
        <v>12</v>
      </c>
      <c r="D20" s="2" t="s">
        <v>13</v>
      </c>
      <c r="E20" s="4">
        <v>60</v>
      </c>
      <c r="F20" s="2">
        <v>3</v>
      </c>
      <c r="G20" s="6">
        <v>180</v>
      </c>
      <c r="H20" t="s">
        <v>29</v>
      </c>
      <c r="I20" t="s">
        <v>38</v>
      </c>
      <c r="J20" t="s">
        <v>31</v>
      </c>
      <c r="K20" t="s">
        <v>40</v>
      </c>
      <c r="L20" t="str">
        <f t="shared" si="0"/>
        <v>Mar-2025</v>
      </c>
      <c r="M20" s="11" t="str">
        <f t="shared" si="1"/>
        <v>Mar-2025-week4</v>
      </c>
    </row>
    <row r="21" spans="1:13" x14ac:dyDescent="0.25">
      <c r="A21" s="2" t="s">
        <v>70</v>
      </c>
      <c r="B21" s="3">
        <v>45723</v>
      </c>
      <c r="C21" s="2" t="s">
        <v>19</v>
      </c>
      <c r="D21" s="2" t="s">
        <v>20</v>
      </c>
      <c r="E21" s="4">
        <v>100</v>
      </c>
      <c r="F21" s="2">
        <v>4</v>
      </c>
      <c r="G21" s="6">
        <v>400</v>
      </c>
      <c r="H21" t="s">
        <v>29</v>
      </c>
      <c r="I21" t="s">
        <v>63</v>
      </c>
      <c r="J21" t="s">
        <v>16</v>
      </c>
      <c r="K21" t="s">
        <v>23</v>
      </c>
      <c r="L21" t="str">
        <f t="shared" si="0"/>
        <v>Mar-2025</v>
      </c>
      <c r="M21" s="11" t="str">
        <f t="shared" si="1"/>
        <v>Mar-2025-week1</v>
      </c>
    </row>
    <row r="22" spans="1:13" x14ac:dyDescent="0.25">
      <c r="A22" s="2" t="s">
        <v>71</v>
      </c>
      <c r="B22" s="3">
        <v>45693</v>
      </c>
      <c r="C22" s="2" t="s">
        <v>19</v>
      </c>
      <c r="D22" s="2" t="s">
        <v>20</v>
      </c>
      <c r="E22" s="4">
        <v>100</v>
      </c>
      <c r="F22" s="2">
        <v>3</v>
      </c>
      <c r="G22" s="6">
        <v>300</v>
      </c>
      <c r="H22" t="s">
        <v>72</v>
      </c>
      <c r="I22" t="s">
        <v>44</v>
      </c>
      <c r="J22" t="s">
        <v>16</v>
      </c>
      <c r="K22" t="s">
        <v>17</v>
      </c>
      <c r="L22" t="str">
        <f t="shared" si="0"/>
        <v>Feb-2025</v>
      </c>
      <c r="M22" s="11" t="str">
        <f t="shared" si="1"/>
        <v>Feb-2025-week1</v>
      </c>
    </row>
    <row r="23" spans="1:13" x14ac:dyDescent="0.25">
      <c r="A23" s="2" t="s">
        <v>73</v>
      </c>
      <c r="B23" s="3">
        <v>45723</v>
      </c>
      <c r="C23" s="2" t="s">
        <v>65</v>
      </c>
      <c r="D23" s="2" t="s">
        <v>61</v>
      </c>
      <c r="E23" s="4">
        <v>1200</v>
      </c>
      <c r="F23" s="2">
        <v>4</v>
      </c>
      <c r="G23" s="6">
        <v>4800</v>
      </c>
      <c r="H23" t="s">
        <v>29</v>
      </c>
      <c r="I23" t="s">
        <v>38</v>
      </c>
      <c r="J23" t="s">
        <v>31</v>
      </c>
      <c r="K23" t="s">
        <v>23</v>
      </c>
      <c r="L23" t="str">
        <f t="shared" si="0"/>
        <v>Mar-2025</v>
      </c>
      <c r="M23" s="11" t="str">
        <f t="shared" si="1"/>
        <v>Mar-2025-week1</v>
      </c>
    </row>
    <row r="24" spans="1:13" x14ac:dyDescent="0.25">
      <c r="A24" s="2" t="s">
        <v>74</v>
      </c>
      <c r="B24" s="3">
        <v>45711</v>
      </c>
      <c r="C24" s="2" t="s">
        <v>49</v>
      </c>
      <c r="D24" s="2" t="s">
        <v>50</v>
      </c>
      <c r="E24" s="4">
        <v>15</v>
      </c>
      <c r="F24" s="2">
        <v>1</v>
      </c>
      <c r="G24" s="6">
        <v>15</v>
      </c>
      <c r="H24" t="s">
        <v>14</v>
      </c>
      <c r="I24" t="s">
        <v>38</v>
      </c>
      <c r="J24" t="s">
        <v>31</v>
      </c>
      <c r="K24" t="s">
        <v>23</v>
      </c>
      <c r="L24" t="str">
        <f t="shared" si="0"/>
        <v>Feb-2025</v>
      </c>
      <c r="M24" s="11" t="str">
        <f t="shared" si="1"/>
        <v>Feb-2025-week4</v>
      </c>
    </row>
    <row r="25" spans="1:13" x14ac:dyDescent="0.25">
      <c r="A25" s="2" t="s">
        <v>75</v>
      </c>
      <c r="B25" s="3">
        <v>45740</v>
      </c>
      <c r="C25" s="2" t="s">
        <v>65</v>
      </c>
      <c r="D25" s="2" t="s">
        <v>61</v>
      </c>
      <c r="E25" s="4">
        <v>1200</v>
      </c>
      <c r="F25" s="2">
        <v>3</v>
      </c>
      <c r="G25" s="6">
        <v>3600</v>
      </c>
      <c r="H25" t="s">
        <v>72</v>
      </c>
      <c r="I25" t="s">
        <v>30</v>
      </c>
      <c r="J25" t="s">
        <v>31</v>
      </c>
      <c r="K25" t="s">
        <v>17</v>
      </c>
      <c r="L25" t="str">
        <f t="shared" si="0"/>
        <v>Mar-2025</v>
      </c>
      <c r="M25" s="11" t="str">
        <f t="shared" si="1"/>
        <v>Mar-2025-week4</v>
      </c>
    </row>
    <row r="26" spans="1:13" x14ac:dyDescent="0.25">
      <c r="A26" s="2" t="s">
        <v>76</v>
      </c>
      <c r="B26" s="3">
        <v>45718</v>
      </c>
      <c r="C26" s="2" t="s">
        <v>49</v>
      </c>
      <c r="D26" s="2" t="s">
        <v>50</v>
      </c>
      <c r="E26" s="4">
        <v>15</v>
      </c>
      <c r="F26" s="2">
        <v>5</v>
      </c>
      <c r="G26" s="6">
        <v>75</v>
      </c>
      <c r="H26" t="s">
        <v>43</v>
      </c>
      <c r="I26" t="s">
        <v>63</v>
      </c>
      <c r="J26" t="s">
        <v>27</v>
      </c>
      <c r="K26" t="s">
        <v>40</v>
      </c>
      <c r="L26" t="str">
        <f t="shared" si="0"/>
        <v>Mar-2025</v>
      </c>
      <c r="M26" s="11" t="str">
        <f t="shared" si="1"/>
        <v>Mar-2025-week1</v>
      </c>
    </row>
    <row r="27" spans="1:13" x14ac:dyDescent="0.25">
      <c r="A27" s="2" t="s">
        <v>77</v>
      </c>
      <c r="B27" s="3">
        <v>45702</v>
      </c>
      <c r="C27" s="2" t="s">
        <v>60</v>
      </c>
      <c r="D27" s="2" t="s">
        <v>61</v>
      </c>
      <c r="E27" s="4">
        <v>600</v>
      </c>
      <c r="F27" s="2">
        <v>1</v>
      </c>
      <c r="G27" s="6">
        <v>600</v>
      </c>
      <c r="H27" t="s">
        <v>29</v>
      </c>
      <c r="I27" t="s">
        <v>46</v>
      </c>
      <c r="J27" t="s">
        <v>16</v>
      </c>
      <c r="K27" t="s">
        <v>17</v>
      </c>
      <c r="L27" t="str">
        <f t="shared" si="0"/>
        <v>Feb-2025</v>
      </c>
      <c r="M27" s="11" t="str">
        <f t="shared" si="1"/>
        <v>Feb-2025-week2</v>
      </c>
    </row>
    <row r="28" spans="1:13" x14ac:dyDescent="0.25">
      <c r="A28" s="2" t="s">
        <v>78</v>
      </c>
      <c r="B28" s="3">
        <v>45695</v>
      </c>
      <c r="C28" s="2" t="s">
        <v>35</v>
      </c>
      <c r="D28" s="2" t="s">
        <v>36</v>
      </c>
      <c r="E28" s="4">
        <v>20</v>
      </c>
      <c r="F28" s="2">
        <v>1</v>
      </c>
      <c r="G28" s="6">
        <v>20</v>
      </c>
      <c r="H28" t="s">
        <v>57</v>
      </c>
      <c r="I28" t="s">
        <v>15</v>
      </c>
      <c r="J28" t="s">
        <v>27</v>
      </c>
      <c r="K28" t="s">
        <v>23</v>
      </c>
      <c r="L28" t="str">
        <f t="shared" si="0"/>
        <v>Feb-2025</v>
      </c>
      <c r="M28" s="11" t="str">
        <f t="shared" si="1"/>
        <v>Feb-2025-week1</v>
      </c>
    </row>
    <row r="29" spans="1:13" x14ac:dyDescent="0.25">
      <c r="A29" s="2" t="s">
        <v>79</v>
      </c>
      <c r="B29" s="3">
        <v>45691</v>
      </c>
      <c r="C29" s="2" t="s">
        <v>19</v>
      </c>
      <c r="D29" s="2" t="s">
        <v>20</v>
      </c>
      <c r="E29" s="4">
        <v>100</v>
      </c>
      <c r="F29" s="2">
        <v>1</v>
      </c>
      <c r="G29" s="6">
        <v>100</v>
      </c>
      <c r="H29" t="s">
        <v>80</v>
      </c>
      <c r="I29" t="s">
        <v>81</v>
      </c>
      <c r="J29" t="s">
        <v>27</v>
      </c>
      <c r="K29" t="s">
        <v>40</v>
      </c>
      <c r="L29" t="str">
        <f t="shared" si="0"/>
        <v>Feb-2025</v>
      </c>
      <c r="M29" s="11" t="str">
        <f t="shared" si="1"/>
        <v>Feb-2025-week1</v>
      </c>
    </row>
    <row r="30" spans="1:13" x14ac:dyDescent="0.25">
      <c r="A30" s="2" t="s">
        <v>82</v>
      </c>
      <c r="B30" s="3">
        <v>45700</v>
      </c>
      <c r="C30" s="2" t="s">
        <v>42</v>
      </c>
      <c r="D30" s="2" t="s">
        <v>20</v>
      </c>
      <c r="E30" s="4">
        <v>500</v>
      </c>
      <c r="F30" s="2">
        <v>1</v>
      </c>
      <c r="G30" s="6">
        <v>500</v>
      </c>
      <c r="H30" t="s">
        <v>43</v>
      </c>
      <c r="I30" t="s">
        <v>26</v>
      </c>
      <c r="J30" t="s">
        <v>31</v>
      </c>
      <c r="K30" t="s">
        <v>17</v>
      </c>
      <c r="L30" t="str">
        <f t="shared" si="0"/>
        <v>Feb-2025</v>
      </c>
      <c r="M30" s="11" t="str">
        <f t="shared" si="1"/>
        <v>Feb-2025-week2</v>
      </c>
    </row>
    <row r="31" spans="1:13" x14ac:dyDescent="0.25">
      <c r="A31" s="2" t="s">
        <v>83</v>
      </c>
      <c r="B31" s="3">
        <v>45698</v>
      </c>
      <c r="C31" s="2" t="s">
        <v>60</v>
      </c>
      <c r="D31" s="2" t="s">
        <v>61</v>
      </c>
      <c r="E31" s="4">
        <v>600</v>
      </c>
      <c r="F31" s="2">
        <v>3</v>
      </c>
      <c r="G31" s="6">
        <v>1800</v>
      </c>
      <c r="H31" t="s">
        <v>21</v>
      </c>
      <c r="I31" t="s">
        <v>30</v>
      </c>
      <c r="J31" t="s">
        <v>58</v>
      </c>
      <c r="K31" t="s">
        <v>17</v>
      </c>
      <c r="L31" t="str">
        <f t="shared" si="0"/>
        <v>Feb-2025</v>
      </c>
      <c r="M31" s="11" t="str">
        <f t="shared" si="1"/>
        <v>Feb-2025-week2</v>
      </c>
    </row>
    <row r="32" spans="1:13" x14ac:dyDescent="0.25">
      <c r="A32" s="2" t="s">
        <v>84</v>
      </c>
      <c r="B32" s="3">
        <v>45740</v>
      </c>
      <c r="C32" s="2" t="s">
        <v>42</v>
      </c>
      <c r="D32" s="2" t="s">
        <v>20</v>
      </c>
      <c r="E32" s="4">
        <v>500</v>
      </c>
      <c r="F32" s="2">
        <v>1</v>
      </c>
      <c r="G32" s="6">
        <v>500</v>
      </c>
      <c r="H32" t="s">
        <v>25</v>
      </c>
      <c r="I32" t="s">
        <v>38</v>
      </c>
      <c r="J32" t="s">
        <v>58</v>
      </c>
      <c r="K32" t="s">
        <v>23</v>
      </c>
      <c r="L32" t="str">
        <f t="shared" si="0"/>
        <v>Mar-2025</v>
      </c>
      <c r="M32" s="11" t="str">
        <f t="shared" si="1"/>
        <v>Mar-2025-week4</v>
      </c>
    </row>
    <row r="33" spans="1:13" x14ac:dyDescent="0.25">
      <c r="A33" s="2" t="s">
        <v>85</v>
      </c>
      <c r="B33" s="3">
        <v>45726</v>
      </c>
      <c r="C33" s="2" t="s">
        <v>42</v>
      </c>
      <c r="D33" s="2" t="s">
        <v>20</v>
      </c>
      <c r="E33" s="4">
        <v>500</v>
      </c>
      <c r="F33" s="2">
        <v>4</v>
      </c>
      <c r="G33" s="6">
        <v>2000</v>
      </c>
      <c r="H33" t="s">
        <v>54</v>
      </c>
      <c r="I33" t="s">
        <v>63</v>
      </c>
      <c r="J33" t="s">
        <v>39</v>
      </c>
      <c r="K33" t="s">
        <v>23</v>
      </c>
      <c r="L33" t="str">
        <f t="shared" si="0"/>
        <v>Mar-2025</v>
      </c>
      <c r="M33" s="11" t="str">
        <f t="shared" si="1"/>
        <v>Mar-2025-week2</v>
      </c>
    </row>
    <row r="34" spans="1:13" x14ac:dyDescent="0.25">
      <c r="A34" s="2" t="s">
        <v>86</v>
      </c>
      <c r="B34" s="3">
        <v>45692</v>
      </c>
      <c r="C34" s="2" t="s">
        <v>49</v>
      </c>
      <c r="D34" s="2" t="s">
        <v>50</v>
      </c>
      <c r="E34" s="4">
        <v>15</v>
      </c>
      <c r="F34" s="2">
        <v>1</v>
      </c>
      <c r="G34" s="6">
        <v>15</v>
      </c>
      <c r="H34" t="s">
        <v>29</v>
      </c>
      <c r="I34" t="s">
        <v>15</v>
      </c>
      <c r="J34" t="s">
        <v>16</v>
      </c>
      <c r="K34" t="s">
        <v>17</v>
      </c>
      <c r="L34" t="str">
        <f t="shared" si="0"/>
        <v>Feb-2025</v>
      </c>
      <c r="M34" s="11" t="str">
        <f t="shared" si="1"/>
        <v>Feb-2025-week1</v>
      </c>
    </row>
    <row r="35" spans="1:13" x14ac:dyDescent="0.25">
      <c r="A35" s="2" t="s">
        <v>87</v>
      </c>
      <c r="B35" s="3">
        <v>45749</v>
      </c>
      <c r="C35" s="2" t="s">
        <v>35</v>
      </c>
      <c r="D35" s="2" t="s">
        <v>36</v>
      </c>
      <c r="E35" s="4">
        <v>20</v>
      </c>
      <c r="F35" s="2">
        <v>5</v>
      </c>
      <c r="G35" s="6">
        <v>100</v>
      </c>
      <c r="H35" t="s">
        <v>80</v>
      </c>
      <c r="I35" t="s">
        <v>15</v>
      </c>
      <c r="J35" t="s">
        <v>31</v>
      </c>
      <c r="K35" t="s">
        <v>23</v>
      </c>
      <c r="L35" t="str">
        <f t="shared" si="0"/>
        <v>Apr-2025</v>
      </c>
      <c r="M35" s="11" t="str">
        <f t="shared" si="1"/>
        <v>Apr-2025-week1</v>
      </c>
    </row>
    <row r="36" spans="1:13" x14ac:dyDescent="0.25">
      <c r="A36" s="2" t="s">
        <v>88</v>
      </c>
      <c r="B36" s="3">
        <v>45749</v>
      </c>
      <c r="C36" s="2" t="s">
        <v>56</v>
      </c>
      <c r="D36" s="2" t="s">
        <v>20</v>
      </c>
      <c r="E36" s="4">
        <v>800</v>
      </c>
      <c r="F36" s="2">
        <v>3</v>
      </c>
      <c r="G36" s="6">
        <v>2400</v>
      </c>
      <c r="H36" t="s">
        <v>14</v>
      </c>
      <c r="I36" t="s">
        <v>26</v>
      </c>
      <c r="J36" t="s">
        <v>27</v>
      </c>
      <c r="K36" t="s">
        <v>40</v>
      </c>
      <c r="L36" t="str">
        <f t="shared" si="0"/>
        <v>Apr-2025</v>
      </c>
      <c r="M36" s="11" t="str">
        <f t="shared" si="1"/>
        <v>Apr-2025-week1</v>
      </c>
    </row>
    <row r="37" spans="1:13" x14ac:dyDescent="0.25">
      <c r="A37" s="2" t="s">
        <v>89</v>
      </c>
      <c r="B37" s="3">
        <v>45697</v>
      </c>
      <c r="C37" s="2" t="s">
        <v>65</v>
      </c>
      <c r="D37" s="2" t="s">
        <v>61</v>
      </c>
      <c r="E37" s="4">
        <v>1200</v>
      </c>
      <c r="F37" s="2">
        <v>2</v>
      </c>
      <c r="G37" s="6">
        <v>2400</v>
      </c>
      <c r="H37" t="s">
        <v>43</v>
      </c>
      <c r="I37" t="s">
        <v>46</v>
      </c>
      <c r="J37" t="s">
        <v>39</v>
      </c>
      <c r="K37" t="s">
        <v>17</v>
      </c>
      <c r="L37" t="str">
        <f t="shared" si="0"/>
        <v>Feb-2025</v>
      </c>
      <c r="M37" s="11" t="str">
        <f t="shared" si="1"/>
        <v>Feb-2025-week2</v>
      </c>
    </row>
    <row r="38" spans="1:13" x14ac:dyDescent="0.25">
      <c r="A38" s="2" t="s">
        <v>90</v>
      </c>
      <c r="B38" s="3">
        <v>45704</v>
      </c>
      <c r="C38" s="2" t="s">
        <v>19</v>
      </c>
      <c r="D38" s="2" t="s">
        <v>20</v>
      </c>
      <c r="E38" s="4">
        <v>100</v>
      </c>
      <c r="F38" s="2">
        <v>3</v>
      </c>
      <c r="G38" s="6">
        <v>300</v>
      </c>
      <c r="H38" t="s">
        <v>54</v>
      </c>
      <c r="I38" t="s">
        <v>15</v>
      </c>
      <c r="J38" t="s">
        <v>16</v>
      </c>
      <c r="K38" t="s">
        <v>17</v>
      </c>
      <c r="L38" t="str">
        <f t="shared" si="0"/>
        <v>Feb-2025</v>
      </c>
      <c r="M38" s="11" t="str">
        <f t="shared" si="1"/>
        <v>Feb-2025-week3</v>
      </c>
    </row>
    <row r="39" spans="1:13" x14ac:dyDescent="0.25">
      <c r="A39" s="2" t="s">
        <v>91</v>
      </c>
      <c r="B39" s="3">
        <v>45742</v>
      </c>
      <c r="C39" s="2" t="s">
        <v>56</v>
      </c>
      <c r="D39" s="2" t="s">
        <v>20</v>
      </c>
      <c r="E39" s="4">
        <v>800</v>
      </c>
      <c r="F39" s="2">
        <v>3</v>
      </c>
      <c r="G39" s="6">
        <v>2400</v>
      </c>
      <c r="H39" t="s">
        <v>29</v>
      </c>
      <c r="I39" t="s">
        <v>81</v>
      </c>
      <c r="J39" t="s">
        <v>27</v>
      </c>
      <c r="K39" t="s">
        <v>40</v>
      </c>
      <c r="L39" t="str">
        <f t="shared" si="0"/>
        <v>Mar-2025</v>
      </c>
      <c r="M39" s="11" t="str">
        <f t="shared" si="1"/>
        <v>Mar-2025-week4</v>
      </c>
    </row>
    <row r="40" spans="1:13" x14ac:dyDescent="0.25">
      <c r="A40" s="2" t="s">
        <v>92</v>
      </c>
      <c r="B40" s="3">
        <v>45718</v>
      </c>
      <c r="C40" s="2" t="s">
        <v>56</v>
      </c>
      <c r="D40" s="2" t="s">
        <v>20</v>
      </c>
      <c r="E40" s="4">
        <v>800</v>
      </c>
      <c r="F40" s="2">
        <v>2</v>
      </c>
      <c r="G40" s="6">
        <v>1600</v>
      </c>
      <c r="H40" t="s">
        <v>29</v>
      </c>
      <c r="I40" t="s">
        <v>22</v>
      </c>
      <c r="J40" t="s">
        <v>39</v>
      </c>
      <c r="K40" t="s">
        <v>40</v>
      </c>
      <c r="L40" t="str">
        <f t="shared" si="0"/>
        <v>Mar-2025</v>
      </c>
      <c r="M40" s="11" t="str">
        <f t="shared" si="1"/>
        <v>Mar-2025-week1</v>
      </c>
    </row>
    <row r="41" spans="1:13" x14ac:dyDescent="0.25">
      <c r="A41" s="2" t="s">
        <v>93</v>
      </c>
      <c r="B41" s="3">
        <v>45742</v>
      </c>
      <c r="C41" s="2" t="s">
        <v>33</v>
      </c>
      <c r="D41" s="2" t="s">
        <v>20</v>
      </c>
      <c r="E41" s="4">
        <v>150</v>
      </c>
      <c r="F41" s="2">
        <v>1</v>
      </c>
      <c r="G41" s="6">
        <v>150</v>
      </c>
      <c r="H41" t="s">
        <v>21</v>
      </c>
      <c r="I41" t="s">
        <v>63</v>
      </c>
      <c r="J41" t="s">
        <v>58</v>
      </c>
      <c r="K41" t="s">
        <v>23</v>
      </c>
      <c r="L41" t="str">
        <f t="shared" si="0"/>
        <v>Mar-2025</v>
      </c>
      <c r="M41" s="11" t="str">
        <f t="shared" si="1"/>
        <v>Mar-2025-week4</v>
      </c>
    </row>
    <row r="42" spans="1:13" x14ac:dyDescent="0.25">
      <c r="A42" s="2" t="s">
        <v>94</v>
      </c>
      <c r="B42" s="3">
        <v>45708</v>
      </c>
      <c r="C42" s="2" t="s">
        <v>49</v>
      </c>
      <c r="D42" s="2" t="s">
        <v>50</v>
      </c>
      <c r="E42" s="4">
        <v>15</v>
      </c>
      <c r="F42" s="2">
        <v>1</v>
      </c>
      <c r="G42" s="6">
        <v>15</v>
      </c>
      <c r="H42" t="s">
        <v>80</v>
      </c>
      <c r="I42" t="s">
        <v>44</v>
      </c>
      <c r="J42" t="s">
        <v>31</v>
      </c>
      <c r="K42" t="s">
        <v>17</v>
      </c>
      <c r="L42" t="str">
        <f t="shared" si="0"/>
        <v>Feb-2025</v>
      </c>
      <c r="M42" s="11" t="str">
        <f t="shared" si="1"/>
        <v>Feb-2025-week3</v>
      </c>
    </row>
    <row r="43" spans="1:13" x14ac:dyDescent="0.25">
      <c r="A43" s="2" t="s">
        <v>95</v>
      </c>
      <c r="B43" s="3">
        <v>45733</v>
      </c>
      <c r="C43" s="2" t="s">
        <v>19</v>
      </c>
      <c r="D43" s="2" t="s">
        <v>20</v>
      </c>
      <c r="E43" s="4">
        <v>100</v>
      </c>
      <c r="F43" s="2">
        <v>3</v>
      </c>
      <c r="G43" s="6">
        <v>300</v>
      </c>
      <c r="H43" t="s">
        <v>80</v>
      </c>
      <c r="I43" t="s">
        <v>81</v>
      </c>
      <c r="J43" t="s">
        <v>27</v>
      </c>
      <c r="K43" t="s">
        <v>17</v>
      </c>
      <c r="L43" t="str">
        <f t="shared" si="0"/>
        <v>Mar-2025</v>
      </c>
      <c r="M43" s="11" t="str">
        <f t="shared" si="1"/>
        <v>Mar-2025-week3</v>
      </c>
    </row>
    <row r="44" spans="1:13" x14ac:dyDescent="0.25">
      <c r="A44" s="2" t="s">
        <v>96</v>
      </c>
      <c r="B44" s="3">
        <v>45696</v>
      </c>
      <c r="C44" s="2" t="s">
        <v>35</v>
      </c>
      <c r="D44" s="2" t="s">
        <v>36</v>
      </c>
      <c r="E44" s="4">
        <v>20</v>
      </c>
      <c r="F44" s="2">
        <v>4</v>
      </c>
      <c r="G44" s="6">
        <v>80</v>
      </c>
      <c r="H44" t="s">
        <v>80</v>
      </c>
      <c r="I44" t="s">
        <v>26</v>
      </c>
      <c r="J44" t="s">
        <v>31</v>
      </c>
      <c r="K44" t="s">
        <v>23</v>
      </c>
      <c r="L44" t="str">
        <f t="shared" si="0"/>
        <v>Feb-2025</v>
      </c>
      <c r="M44" s="11" t="str">
        <f t="shared" si="1"/>
        <v>Feb-2025-week2</v>
      </c>
    </row>
    <row r="45" spans="1:13" x14ac:dyDescent="0.25">
      <c r="A45" s="2" t="s">
        <v>97</v>
      </c>
      <c r="B45" s="3">
        <v>45740</v>
      </c>
      <c r="C45" s="2" t="s">
        <v>33</v>
      </c>
      <c r="D45" s="2" t="s">
        <v>20</v>
      </c>
      <c r="E45" s="4">
        <v>150</v>
      </c>
      <c r="F45" s="2">
        <v>1</v>
      </c>
      <c r="G45" s="6">
        <v>150</v>
      </c>
      <c r="H45" t="s">
        <v>72</v>
      </c>
      <c r="I45" t="s">
        <v>38</v>
      </c>
      <c r="J45" t="s">
        <v>16</v>
      </c>
      <c r="K45" t="s">
        <v>23</v>
      </c>
      <c r="L45" t="str">
        <f t="shared" si="0"/>
        <v>Mar-2025</v>
      </c>
      <c r="M45" s="11" t="str">
        <f t="shared" si="1"/>
        <v>Mar-2025-week4</v>
      </c>
    </row>
    <row r="46" spans="1:13" x14ac:dyDescent="0.25">
      <c r="A46" s="2" t="s">
        <v>98</v>
      </c>
      <c r="B46" s="3">
        <v>45731</v>
      </c>
      <c r="C46" s="2" t="s">
        <v>65</v>
      </c>
      <c r="D46" s="2" t="s">
        <v>61</v>
      </c>
      <c r="E46" s="4">
        <v>1200</v>
      </c>
      <c r="F46" s="2">
        <v>3</v>
      </c>
      <c r="G46" s="6">
        <v>3600</v>
      </c>
      <c r="H46" t="s">
        <v>57</v>
      </c>
      <c r="I46" t="s">
        <v>15</v>
      </c>
      <c r="J46" t="s">
        <v>31</v>
      </c>
      <c r="K46" t="s">
        <v>23</v>
      </c>
      <c r="L46" t="str">
        <f t="shared" si="0"/>
        <v>Mar-2025</v>
      </c>
      <c r="M46" s="11" t="str">
        <f t="shared" si="1"/>
        <v>Mar-2025-week3</v>
      </c>
    </row>
    <row r="47" spans="1:13" x14ac:dyDescent="0.25">
      <c r="A47" s="2" t="s">
        <v>99</v>
      </c>
      <c r="B47" s="3">
        <v>45722</v>
      </c>
      <c r="C47" s="2" t="s">
        <v>12</v>
      </c>
      <c r="D47" s="2" t="s">
        <v>13</v>
      </c>
      <c r="E47" s="4">
        <v>60</v>
      </c>
      <c r="F47" s="2">
        <v>2</v>
      </c>
      <c r="G47" s="6">
        <v>120</v>
      </c>
      <c r="H47" t="s">
        <v>51</v>
      </c>
      <c r="I47" t="s">
        <v>38</v>
      </c>
      <c r="J47" t="s">
        <v>16</v>
      </c>
      <c r="K47" t="s">
        <v>17</v>
      </c>
      <c r="L47" t="str">
        <f t="shared" si="0"/>
        <v>Mar-2025</v>
      </c>
      <c r="M47" s="11" t="str">
        <f t="shared" si="1"/>
        <v>Mar-2025-week1</v>
      </c>
    </row>
    <row r="48" spans="1:13" x14ac:dyDescent="0.25">
      <c r="A48" s="2" t="s">
        <v>100</v>
      </c>
      <c r="B48" s="3">
        <v>45742</v>
      </c>
      <c r="C48" s="2" t="s">
        <v>35</v>
      </c>
      <c r="D48" s="2" t="s">
        <v>36</v>
      </c>
      <c r="E48" s="4">
        <v>20</v>
      </c>
      <c r="F48" s="2">
        <v>2</v>
      </c>
      <c r="G48" s="6">
        <v>40</v>
      </c>
      <c r="H48" t="s">
        <v>72</v>
      </c>
      <c r="I48" t="s">
        <v>44</v>
      </c>
      <c r="J48" t="s">
        <v>58</v>
      </c>
      <c r="K48" t="s">
        <v>17</v>
      </c>
      <c r="L48" t="str">
        <f t="shared" si="0"/>
        <v>Mar-2025</v>
      </c>
      <c r="M48" s="11" t="str">
        <f t="shared" si="1"/>
        <v>Mar-2025-week4</v>
      </c>
    </row>
    <row r="49" spans="1:13" x14ac:dyDescent="0.25">
      <c r="A49" s="2" t="s">
        <v>101</v>
      </c>
      <c r="B49" s="3">
        <v>45699</v>
      </c>
      <c r="C49" s="2" t="s">
        <v>35</v>
      </c>
      <c r="D49" s="2" t="s">
        <v>36</v>
      </c>
      <c r="E49" s="4">
        <v>20</v>
      </c>
      <c r="F49" s="2">
        <v>5</v>
      </c>
      <c r="G49" s="6">
        <v>100</v>
      </c>
      <c r="H49" t="s">
        <v>80</v>
      </c>
      <c r="I49" t="s">
        <v>26</v>
      </c>
      <c r="J49" t="s">
        <v>27</v>
      </c>
      <c r="K49" t="s">
        <v>40</v>
      </c>
      <c r="L49" t="str">
        <f t="shared" si="0"/>
        <v>Feb-2025</v>
      </c>
      <c r="M49" s="11" t="str">
        <f t="shared" si="1"/>
        <v>Feb-2025-week2</v>
      </c>
    </row>
    <row r="50" spans="1:13" x14ac:dyDescent="0.25">
      <c r="A50" s="2" t="s">
        <v>102</v>
      </c>
      <c r="B50" s="3">
        <v>45706</v>
      </c>
      <c r="C50" s="2" t="s">
        <v>42</v>
      </c>
      <c r="D50" s="2" t="s">
        <v>20</v>
      </c>
      <c r="E50" s="4">
        <v>500</v>
      </c>
      <c r="F50" s="2">
        <v>4</v>
      </c>
      <c r="G50" s="6">
        <v>2000</v>
      </c>
      <c r="H50" t="s">
        <v>14</v>
      </c>
      <c r="I50" t="s">
        <v>81</v>
      </c>
      <c r="J50" t="s">
        <v>16</v>
      </c>
      <c r="K50" t="s">
        <v>40</v>
      </c>
      <c r="L50" t="str">
        <f t="shared" si="0"/>
        <v>Feb-2025</v>
      </c>
      <c r="M50" s="11" t="str">
        <f t="shared" si="1"/>
        <v>Feb-2025-week3</v>
      </c>
    </row>
    <row r="51" spans="1:13" x14ac:dyDescent="0.25">
      <c r="A51" s="2" t="s">
        <v>103</v>
      </c>
      <c r="B51" s="3">
        <v>45730</v>
      </c>
      <c r="C51" s="2" t="s">
        <v>53</v>
      </c>
      <c r="D51" s="2" t="s">
        <v>36</v>
      </c>
      <c r="E51" s="4">
        <v>40</v>
      </c>
      <c r="F51" s="2">
        <v>3</v>
      </c>
      <c r="G51" s="6">
        <v>120</v>
      </c>
      <c r="H51" t="s">
        <v>25</v>
      </c>
      <c r="I51" t="s">
        <v>46</v>
      </c>
      <c r="J51" t="s">
        <v>58</v>
      </c>
      <c r="K51" t="s">
        <v>40</v>
      </c>
      <c r="L51" t="str">
        <f t="shared" si="0"/>
        <v>Mar-2025</v>
      </c>
      <c r="M51" s="11" t="str">
        <f t="shared" si="1"/>
        <v>Mar-2025-week2</v>
      </c>
    </row>
    <row r="52" spans="1:13" x14ac:dyDescent="0.25">
      <c r="A52" s="2" t="s">
        <v>104</v>
      </c>
      <c r="B52" s="3">
        <v>45707</v>
      </c>
      <c r="C52" s="2" t="s">
        <v>49</v>
      </c>
      <c r="D52" s="2" t="s">
        <v>50</v>
      </c>
      <c r="E52" s="4">
        <v>15</v>
      </c>
      <c r="F52" s="2">
        <v>1</v>
      </c>
      <c r="G52" s="6">
        <v>15</v>
      </c>
      <c r="H52" t="s">
        <v>14</v>
      </c>
      <c r="I52" t="s">
        <v>38</v>
      </c>
      <c r="J52" t="s">
        <v>58</v>
      </c>
      <c r="K52" t="s">
        <v>17</v>
      </c>
      <c r="L52" t="str">
        <f t="shared" si="0"/>
        <v>Feb-2025</v>
      </c>
      <c r="M52" s="11" t="str">
        <f t="shared" si="1"/>
        <v>Feb-2025-week3</v>
      </c>
    </row>
    <row r="53" spans="1:13" x14ac:dyDescent="0.25">
      <c r="A53" s="2" t="s">
        <v>105</v>
      </c>
      <c r="B53" s="3">
        <v>45712</v>
      </c>
      <c r="C53" s="2" t="s">
        <v>56</v>
      </c>
      <c r="D53" s="2" t="s">
        <v>20</v>
      </c>
      <c r="E53" s="4">
        <v>800</v>
      </c>
      <c r="F53" s="2">
        <v>3</v>
      </c>
      <c r="G53" s="6">
        <v>2400</v>
      </c>
      <c r="H53" t="s">
        <v>25</v>
      </c>
      <c r="I53" t="s">
        <v>22</v>
      </c>
      <c r="J53" t="s">
        <v>31</v>
      </c>
      <c r="K53" t="s">
        <v>23</v>
      </c>
      <c r="L53" t="str">
        <f t="shared" si="0"/>
        <v>Feb-2025</v>
      </c>
      <c r="M53" s="11" t="str">
        <f t="shared" si="1"/>
        <v>Feb-2025-week4</v>
      </c>
    </row>
    <row r="54" spans="1:13" x14ac:dyDescent="0.25">
      <c r="A54" s="2" t="s">
        <v>106</v>
      </c>
      <c r="B54" s="3">
        <v>45740</v>
      </c>
      <c r="C54" s="2" t="s">
        <v>12</v>
      </c>
      <c r="D54" s="2" t="s">
        <v>13</v>
      </c>
      <c r="E54" s="4">
        <v>60</v>
      </c>
      <c r="F54" s="2">
        <v>4</v>
      </c>
      <c r="G54" s="6">
        <v>240</v>
      </c>
      <c r="H54" t="s">
        <v>21</v>
      </c>
      <c r="I54" t="s">
        <v>68</v>
      </c>
      <c r="J54" t="s">
        <v>39</v>
      </c>
      <c r="K54" t="s">
        <v>40</v>
      </c>
      <c r="L54" t="str">
        <f t="shared" si="0"/>
        <v>Mar-2025</v>
      </c>
      <c r="M54" s="11" t="str">
        <f t="shared" si="1"/>
        <v>Mar-2025-week4</v>
      </c>
    </row>
    <row r="55" spans="1:13" x14ac:dyDescent="0.25">
      <c r="A55" s="2" t="s">
        <v>107</v>
      </c>
      <c r="B55" s="3">
        <v>45731</v>
      </c>
      <c r="C55" s="2" t="s">
        <v>33</v>
      </c>
      <c r="D55" s="2" t="s">
        <v>20</v>
      </c>
      <c r="E55" s="4">
        <v>150</v>
      </c>
      <c r="F55" s="2">
        <v>3</v>
      </c>
      <c r="G55" s="6">
        <v>450</v>
      </c>
      <c r="H55" t="s">
        <v>51</v>
      </c>
      <c r="I55" t="s">
        <v>46</v>
      </c>
      <c r="J55" t="s">
        <v>58</v>
      </c>
      <c r="K55" t="s">
        <v>23</v>
      </c>
      <c r="L55" t="str">
        <f t="shared" si="0"/>
        <v>Mar-2025</v>
      </c>
      <c r="M55" s="11" t="str">
        <f t="shared" si="1"/>
        <v>Mar-2025-week3</v>
      </c>
    </row>
    <row r="56" spans="1:13" x14ac:dyDescent="0.25">
      <c r="A56" s="2" t="s">
        <v>108</v>
      </c>
      <c r="B56" s="3">
        <v>45731</v>
      </c>
      <c r="C56" s="2" t="s">
        <v>53</v>
      </c>
      <c r="D56" s="2" t="s">
        <v>36</v>
      </c>
      <c r="E56" s="4">
        <v>40</v>
      </c>
      <c r="F56" s="2">
        <v>2</v>
      </c>
      <c r="G56" s="6">
        <v>80</v>
      </c>
      <c r="H56" t="s">
        <v>43</v>
      </c>
      <c r="I56" t="s">
        <v>30</v>
      </c>
      <c r="J56" t="s">
        <v>39</v>
      </c>
      <c r="K56" t="s">
        <v>40</v>
      </c>
      <c r="L56" t="str">
        <f t="shared" si="0"/>
        <v>Mar-2025</v>
      </c>
      <c r="M56" s="11" t="str">
        <f t="shared" si="1"/>
        <v>Mar-2025-week3</v>
      </c>
    </row>
    <row r="57" spans="1:13" x14ac:dyDescent="0.25">
      <c r="A57" s="2" t="s">
        <v>109</v>
      </c>
      <c r="B57" s="3">
        <v>45735</v>
      </c>
      <c r="C57" s="2" t="s">
        <v>33</v>
      </c>
      <c r="D57" s="2" t="s">
        <v>20</v>
      </c>
      <c r="E57" s="4">
        <v>150</v>
      </c>
      <c r="F57" s="2">
        <v>2</v>
      </c>
      <c r="G57" s="6">
        <v>300</v>
      </c>
      <c r="H57" t="s">
        <v>14</v>
      </c>
      <c r="I57" t="s">
        <v>30</v>
      </c>
      <c r="J57" t="s">
        <v>31</v>
      </c>
      <c r="K57" t="s">
        <v>40</v>
      </c>
      <c r="L57" t="str">
        <f t="shared" si="0"/>
        <v>Mar-2025</v>
      </c>
      <c r="M57" s="11" t="str">
        <f t="shared" si="1"/>
        <v>Mar-2025-week3</v>
      </c>
    </row>
    <row r="58" spans="1:13" x14ac:dyDescent="0.25">
      <c r="A58" s="2" t="s">
        <v>110</v>
      </c>
      <c r="B58" s="3">
        <v>45731</v>
      </c>
      <c r="C58" s="2" t="s">
        <v>42</v>
      </c>
      <c r="D58" s="2" t="s">
        <v>20</v>
      </c>
      <c r="E58" s="4">
        <v>500</v>
      </c>
      <c r="F58" s="2">
        <v>1</v>
      </c>
      <c r="G58" s="6">
        <v>500</v>
      </c>
      <c r="H58" t="s">
        <v>80</v>
      </c>
      <c r="I58" t="s">
        <v>68</v>
      </c>
      <c r="J58" t="s">
        <v>16</v>
      </c>
      <c r="K58" t="s">
        <v>17</v>
      </c>
      <c r="L58" t="str">
        <f t="shared" si="0"/>
        <v>Mar-2025</v>
      </c>
      <c r="M58" s="11" t="str">
        <f t="shared" si="1"/>
        <v>Mar-2025-week3</v>
      </c>
    </row>
    <row r="59" spans="1:13" x14ac:dyDescent="0.25">
      <c r="A59" s="2" t="s">
        <v>111</v>
      </c>
      <c r="B59" s="3">
        <v>45729</v>
      </c>
      <c r="C59" s="2" t="s">
        <v>42</v>
      </c>
      <c r="D59" s="2" t="s">
        <v>20</v>
      </c>
      <c r="E59" s="4">
        <v>500</v>
      </c>
      <c r="F59" s="2">
        <v>1</v>
      </c>
      <c r="G59" s="6">
        <v>500</v>
      </c>
      <c r="H59" t="s">
        <v>80</v>
      </c>
      <c r="I59" t="s">
        <v>81</v>
      </c>
      <c r="J59" t="s">
        <v>39</v>
      </c>
      <c r="K59" t="s">
        <v>17</v>
      </c>
      <c r="L59" t="str">
        <f t="shared" si="0"/>
        <v>Mar-2025</v>
      </c>
      <c r="M59" s="11" t="str">
        <f t="shared" si="1"/>
        <v>Mar-2025-week2</v>
      </c>
    </row>
    <row r="60" spans="1:13" x14ac:dyDescent="0.25">
      <c r="A60" s="2" t="s">
        <v>112</v>
      </c>
      <c r="B60" s="3">
        <v>45748</v>
      </c>
      <c r="C60" s="2" t="s">
        <v>33</v>
      </c>
      <c r="D60" s="2" t="s">
        <v>20</v>
      </c>
      <c r="E60" s="4">
        <v>150</v>
      </c>
      <c r="F60" s="2">
        <v>2</v>
      </c>
      <c r="G60" s="6">
        <v>300</v>
      </c>
      <c r="H60" t="s">
        <v>57</v>
      </c>
      <c r="I60" t="s">
        <v>30</v>
      </c>
      <c r="J60" t="s">
        <v>31</v>
      </c>
      <c r="K60" t="s">
        <v>17</v>
      </c>
      <c r="L60" t="str">
        <f t="shared" si="0"/>
        <v>Apr-2025</v>
      </c>
      <c r="M60" s="11" t="str">
        <f t="shared" si="1"/>
        <v>Apr-2025-week1</v>
      </c>
    </row>
    <row r="61" spans="1:13" x14ac:dyDescent="0.25">
      <c r="A61" s="2" t="s">
        <v>113</v>
      </c>
      <c r="B61" s="3">
        <v>45728</v>
      </c>
      <c r="C61" s="2" t="s">
        <v>49</v>
      </c>
      <c r="D61" s="2" t="s">
        <v>50</v>
      </c>
      <c r="E61" s="4">
        <v>15</v>
      </c>
      <c r="F61" s="2">
        <v>5</v>
      </c>
      <c r="G61" s="6">
        <v>75</v>
      </c>
      <c r="H61" t="s">
        <v>80</v>
      </c>
      <c r="I61" t="s">
        <v>30</v>
      </c>
      <c r="J61" t="s">
        <v>31</v>
      </c>
      <c r="K61" t="s">
        <v>23</v>
      </c>
      <c r="L61" t="str">
        <f t="shared" si="0"/>
        <v>Mar-2025</v>
      </c>
      <c r="M61" s="11" t="str">
        <f t="shared" si="1"/>
        <v>Mar-2025-week2</v>
      </c>
    </row>
    <row r="62" spans="1:13" x14ac:dyDescent="0.25">
      <c r="A62" s="2" t="s">
        <v>114</v>
      </c>
      <c r="B62" s="3">
        <v>45727</v>
      </c>
      <c r="C62" s="2" t="s">
        <v>65</v>
      </c>
      <c r="D62" s="2" t="s">
        <v>61</v>
      </c>
      <c r="E62" s="4">
        <v>1200</v>
      </c>
      <c r="F62" s="2">
        <v>1</v>
      </c>
      <c r="G62" s="6">
        <v>1200</v>
      </c>
      <c r="H62" t="s">
        <v>80</v>
      </c>
      <c r="I62" t="s">
        <v>15</v>
      </c>
      <c r="J62" t="s">
        <v>39</v>
      </c>
      <c r="K62" t="s">
        <v>17</v>
      </c>
      <c r="L62" t="str">
        <f t="shared" si="0"/>
        <v>Mar-2025</v>
      </c>
      <c r="M62" s="11" t="str">
        <f t="shared" si="1"/>
        <v>Mar-2025-week2</v>
      </c>
    </row>
    <row r="63" spans="1:13" x14ac:dyDescent="0.25">
      <c r="A63" s="2" t="s">
        <v>115</v>
      </c>
      <c r="B63" s="3">
        <v>45698</v>
      </c>
      <c r="C63" s="2" t="s">
        <v>56</v>
      </c>
      <c r="D63" s="2" t="s">
        <v>20</v>
      </c>
      <c r="E63" s="4">
        <v>800</v>
      </c>
      <c r="F63" s="2">
        <v>5</v>
      </c>
      <c r="G63" s="6">
        <v>4000</v>
      </c>
      <c r="H63" t="s">
        <v>29</v>
      </c>
      <c r="I63" t="s">
        <v>22</v>
      </c>
      <c r="J63" t="s">
        <v>39</v>
      </c>
      <c r="K63" t="s">
        <v>40</v>
      </c>
      <c r="L63" t="str">
        <f t="shared" si="0"/>
        <v>Feb-2025</v>
      </c>
      <c r="M63" s="11" t="str">
        <f t="shared" si="1"/>
        <v>Feb-2025-week2</v>
      </c>
    </row>
    <row r="64" spans="1:13" x14ac:dyDescent="0.25">
      <c r="A64" s="2" t="s">
        <v>116</v>
      </c>
      <c r="B64" s="3">
        <v>45746</v>
      </c>
      <c r="C64" s="2" t="s">
        <v>42</v>
      </c>
      <c r="D64" s="2" t="s">
        <v>20</v>
      </c>
      <c r="E64" s="4">
        <v>500</v>
      </c>
      <c r="F64" s="2">
        <v>5</v>
      </c>
      <c r="G64" s="6">
        <v>2500</v>
      </c>
      <c r="H64" t="s">
        <v>14</v>
      </c>
      <c r="I64" t="s">
        <v>44</v>
      </c>
      <c r="J64" t="s">
        <v>58</v>
      </c>
      <c r="K64" t="s">
        <v>40</v>
      </c>
      <c r="L64" t="str">
        <f t="shared" si="0"/>
        <v>Mar-2025</v>
      </c>
      <c r="M64" s="11" t="str">
        <f t="shared" si="1"/>
        <v>Mar-2025-week5</v>
      </c>
    </row>
    <row r="65" spans="1:13" x14ac:dyDescent="0.25">
      <c r="A65" s="2" t="s">
        <v>117</v>
      </c>
      <c r="B65" s="3">
        <v>45701</v>
      </c>
      <c r="C65" s="2" t="s">
        <v>65</v>
      </c>
      <c r="D65" s="2" t="s">
        <v>61</v>
      </c>
      <c r="E65" s="4">
        <v>1200</v>
      </c>
      <c r="F65" s="2">
        <v>4</v>
      </c>
      <c r="G65" s="6">
        <v>4800</v>
      </c>
      <c r="H65" t="s">
        <v>21</v>
      </c>
      <c r="I65" t="s">
        <v>26</v>
      </c>
      <c r="J65" t="s">
        <v>39</v>
      </c>
      <c r="K65" t="s">
        <v>23</v>
      </c>
      <c r="L65" t="str">
        <f t="shared" si="0"/>
        <v>Feb-2025</v>
      </c>
      <c r="M65" s="11" t="str">
        <f t="shared" si="1"/>
        <v>Feb-2025-week2</v>
      </c>
    </row>
    <row r="66" spans="1:13" x14ac:dyDescent="0.25">
      <c r="A66" s="2" t="s">
        <v>118</v>
      </c>
      <c r="B66" s="3">
        <v>45732</v>
      </c>
      <c r="C66" s="2" t="s">
        <v>49</v>
      </c>
      <c r="D66" s="2" t="s">
        <v>50</v>
      </c>
      <c r="E66" s="4">
        <v>15</v>
      </c>
      <c r="F66" s="2">
        <v>3</v>
      </c>
      <c r="G66" s="6">
        <v>45</v>
      </c>
      <c r="H66" t="s">
        <v>14</v>
      </c>
      <c r="I66" t="s">
        <v>22</v>
      </c>
      <c r="J66" t="s">
        <v>27</v>
      </c>
      <c r="K66" t="s">
        <v>23</v>
      </c>
      <c r="L66" t="str">
        <f t="shared" si="0"/>
        <v>Mar-2025</v>
      </c>
      <c r="M66" s="11" t="str">
        <f t="shared" si="1"/>
        <v>Mar-2025-week3</v>
      </c>
    </row>
    <row r="67" spans="1:13" x14ac:dyDescent="0.25">
      <c r="A67" s="2" t="s">
        <v>119</v>
      </c>
      <c r="B67" s="3">
        <v>45730</v>
      </c>
      <c r="C67" s="2" t="s">
        <v>33</v>
      </c>
      <c r="D67" s="2" t="s">
        <v>20</v>
      </c>
      <c r="E67" s="4">
        <v>150</v>
      </c>
      <c r="F67" s="2">
        <v>2</v>
      </c>
      <c r="G67" s="6">
        <v>300</v>
      </c>
      <c r="H67" t="s">
        <v>54</v>
      </c>
      <c r="I67" t="s">
        <v>26</v>
      </c>
      <c r="J67" t="s">
        <v>39</v>
      </c>
      <c r="K67" t="s">
        <v>23</v>
      </c>
      <c r="L67" t="str">
        <f t="shared" ref="L67:L130" si="2">TEXT(B67,"MMM-YYYY")</f>
        <v>Mar-2025</v>
      </c>
      <c r="M67" s="11" t="str">
        <f t="shared" ref="M67:M130" si="3">TEXT(B67,"mmm-yyyy")&amp;"-week"&amp;INT((DAY(B67)-1)/7)+1</f>
        <v>Mar-2025-week2</v>
      </c>
    </row>
    <row r="68" spans="1:13" x14ac:dyDescent="0.25">
      <c r="A68" s="2" t="s">
        <v>120</v>
      </c>
      <c r="B68" s="3">
        <v>45747</v>
      </c>
      <c r="C68" s="2" t="s">
        <v>19</v>
      </c>
      <c r="D68" s="2" t="s">
        <v>20</v>
      </c>
      <c r="E68" s="4">
        <v>100</v>
      </c>
      <c r="F68" s="2">
        <v>3</v>
      </c>
      <c r="G68" s="6">
        <v>300</v>
      </c>
      <c r="H68" t="s">
        <v>72</v>
      </c>
      <c r="I68" t="s">
        <v>15</v>
      </c>
      <c r="J68" t="s">
        <v>16</v>
      </c>
      <c r="K68" t="s">
        <v>23</v>
      </c>
      <c r="L68" t="str">
        <f t="shared" si="2"/>
        <v>Mar-2025</v>
      </c>
      <c r="M68" s="11" t="str">
        <f t="shared" si="3"/>
        <v>Mar-2025-week5</v>
      </c>
    </row>
    <row r="69" spans="1:13" x14ac:dyDescent="0.25">
      <c r="A69" s="2" t="s">
        <v>121</v>
      </c>
      <c r="B69" s="3">
        <v>45711</v>
      </c>
      <c r="C69" s="2" t="s">
        <v>19</v>
      </c>
      <c r="D69" s="2" t="s">
        <v>20</v>
      </c>
      <c r="E69" s="4">
        <v>100</v>
      </c>
      <c r="F69" s="2">
        <v>1</v>
      </c>
      <c r="G69" s="6">
        <v>100</v>
      </c>
      <c r="H69" t="s">
        <v>51</v>
      </c>
      <c r="I69" t="s">
        <v>38</v>
      </c>
      <c r="J69" t="s">
        <v>16</v>
      </c>
      <c r="K69" t="s">
        <v>17</v>
      </c>
      <c r="L69" t="str">
        <f t="shared" si="2"/>
        <v>Feb-2025</v>
      </c>
      <c r="M69" s="11" t="str">
        <f t="shared" si="3"/>
        <v>Feb-2025-week4</v>
      </c>
    </row>
    <row r="70" spans="1:13" x14ac:dyDescent="0.25">
      <c r="A70" s="2" t="s">
        <v>122</v>
      </c>
      <c r="B70" s="3">
        <v>45713</v>
      </c>
      <c r="C70" s="2" t="s">
        <v>65</v>
      </c>
      <c r="D70" s="2" t="s">
        <v>61</v>
      </c>
      <c r="E70" s="4">
        <v>1200</v>
      </c>
      <c r="F70" s="2">
        <v>4</v>
      </c>
      <c r="G70" s="6">
        <v>4800</v>
      </c>
      <c r="H70" t="s">
        <v>51</v>
      </c>
      <c r="I70" t="s">
        <v>46</v>
      </c>
      <c r="J70" t="s">
        <v>58</v>
      </c>
      <c r="K70" t="s">
        <v>23</v>
      </c>
      <c r="L70" t="str">
        <f t="shared" si="2"/>
        <v>Feb-2025</v>
      </c>
      <c r="M70" s="11" t="str">
        <f t="shared" si="3"/>
        <v>Feb-2025-week4</v>
      </c>
    </row>
    <row r="71" spans="1:13" x14ac:dyDescent="0.25">
      <c r="A71" s="2" t="s">
        <v>123</v>
      </c>
      <c r="B71" s="3">
        <v>45726</v>
      </c>
      <c r="C71" s="2" t="s">
        <v>49</v>
      </c>
      <c r="D71" s="2" t="s">
        <v>50</v>
      </c>
      <c r="E71" s="4">
        <v>15</v>
      </c>
      <c r="F71" s="2">
        <v>1</v>
      </c>
      <c r="G71" s="6">
        <v>15</v>
      </c>
      <c r="H71" t="s">
        <v>21</v>
      </c>
      <c r="I71" t="s">
        <v>46</v>
      </c>
      <c r="J71" t="s">
        <v>31</v>
      </c>
      <c r="K71" t="s">
        <v>40</v>
      </c>
      <c r="L71" t="str">
        <f t="shared" si="2"/>
        <v>Mar-2025</v>
      </c>
      <c r="M71" s="11" t="str">
        <f t="shared" si="3"/>
        <v>Mar-2025-week2</v>
      </c>
    </row>
    <row r="72" spans="1:13" x14ac:dyDescent="0.25">
      <c r="A72" s="2" t="s">
        <v>124</v>
      </c>
      <c r="B72" s="3">
        <v>45732</v>
      </c>
      <c r="C72" s="2" t="s">
        <v>33</v>
      </c>
      <c r="D72" s="2" t="s">
        <v>20</v>
      </c>
      <c r="E72" s="4">
        <v>150</v>
      </c>
      <c r="F72" s="2">
        <v>5</v>
      </c>
      <c r="G72" s="6">
        <v>750</v>
      </c>
      <c r="H72" t="s">
        <v>25</v>
      </c>
      <c r="I72" t="s">
        <v>26</v>
      </c>
      <c r="J72" t="s">
        <v>31</v>
      </c>
      <c r="K72" t="s">
        <v>23</v>
      </c>
      <c r="L72" t="str">
        <f t="shared" si="2"/>
        <v>Mar-2025</v>
      </c>
      <c r="M72" s="11" t="str">
        <f t="shared" si="3"/>
        <v>Mar-2025-week3</v>
      </c>
    </row>
    <row r="73" spans="1:13" x14ac:dyDescent="0.25">
      <c r="A73" s="2" t="s">
        <v>125</v>
      </c>
      <c r="B73" s="3">
        <v>45723</v>
      </c>
      <c r="C73" s="2" t="s">
        <v>56</v>
      </c>
      <c r="D73" s="2" t="s">
        <v>20</v>
      </c>
      <c r="E73" s="4">
        <v>800</v>
      </c>
      <c r="F73" s="2">
        <v>3</v>
      </c>
      <c r="G73" s="6">
        <v>2400</v>
      </c>
      <c r="H73" t="s">
        <v>57</v>
      </c>
      <c r="I73" t="s">
        <v>38</v>
      </c>
      <c r="J73" t="s">
        <v>31</v>
      </c>
      <c r="K73" t="s">
        <v>23</v>
      </c>
      <c r="L73" t="str">
        <f t="shared" si="2"/>
        <v>Mar-2025</v>
      </c>
      <c r="M73" s="11" t="str">
        <f t="shared" si="3"/>
        <v>Mar-2025-week1</v>
      </c>
    </row>
    <row r="74" spans="1:13" x14ac:dyDescent="0.25">
      <c r="A74" s="2" t="s">
        <v>126</v>
      </c>
      <c r="B74" s="3">
        <v>45708</v>
      </c>
      <c r="C74" s="2" t="s">
        <v>42</v>
      </c>
      <c r="D74" s="2" t="s">
        <v>20</v>
      </c>
      <c r="E74" s="4">
        <v>500</v>
      </c>
      <c r="F74" s="2">
        <v>5</v>
      </c>
      <c r="G74" s="6">
        <v>2500</v>
      </c>
      <c r="H74" t="s">
        <v>21</v>
      </c>
      <c r="I74" t="s">
        <v>44</v>
      </c>
      <c r="J74" t="s">
        <v>31</v>
      </c>
      <c r="K74" t="s">
        <v>17</v>
      </c>
      <c r="L74" t="str">
        <f t="shared" si="2"/>
        <v>Feb-2025</v>
      </c>
      <c r="M74" s="11" t="str">
        <f t="shared" si="3"/>
        <v>Feb-2025-week3</v>
      </c>
    </row>
    <row r="75" spans="1:13" x14ac:dyDescent="0.25">
      <c r="A75" s="2" t="s">
        <v>127</v>
      </c>
      <c r="B75" s="3">
        <v>45741</v>
      </c>
      <c r="C75" s="2" t="s">
        <v>65</v>
      </c>
      <c r="D75" s="2" t="s">
        <v>61</v>
      </c>
      <c r="E75" s="4">
        <v>1200</v>
      </c>
      <c r="F75" s="2">
        <v>4</v>
      </c>
      <c r="G75" s="6">
        <v>4800</v>
      </c>
      <c r="H75" t="s">
        <v>80</v>
      </c>
      <c r="I75" t="s">
        <v>30</v>
      </c>
      <c r="J75" t="s">
        <v>58</v>
      </c>
      <c r="K75" t="s">
        <v>17</v>
      </c>
      <c r="L75" t="str">
        <f t="shared" si="2"/>
        <v>Mar-2025</v>
      </c>
      <c r="M75" s="11" t="str">
        <f t="shared" si="3"/>
        <v>Mar-2025-week4</v>
      </c>
    </row>
    <row r="76" spans="1:13" x14ac:dyDescent="0.25">
      <c r="A76" s="2" t="s">
        <v>128</v>
      </c>
      <c r="B76" s="3">
        <v>45714</v>
      </c>
      <c r="C76" s="2" t="s">
        <v>19</v>
      </c>
      <c r="D76" s="2" t="s">
        <v>20</v>
      </c>
      <c r="E76" s="4">
        <v>100</v>
      </c>
      <c r="F76" s="2">
        <v>2</v>
      </c>
      <c r="G76" s="6">
        <v>200</v>
      </c>
      <c r="H76" t="s">
        <v>57</v>
      </c>
      <c r="I76" t="s">
        <v>46</v>
      </c>
      <c r="J76" t="s">
        <v>39</v>
      </c>
      <c r="K76" t="s">
        <v>23</v>
      </c>
      <c r="L76" t="str">
        <f t="shared" si="2"/>
        <v>Feb-2025</v>
      </c>
      <c r="M76" s="11" t="str">
        <f t="shared" si="3"/>
        <v>Feb-2025-week4</v>
      </c>
    </row>
    <row r="77" spans="1:13" x14ac:dyDescent="0.25">
      <c r="A77" s="2" t="s">
        <v>129</v>
      </c>
      <c r="B77" s="3">
        <v>45712</v>
      </c>
      <c r="C77" s="2" t="s">
        <v>60</v>
      </c>
      <c r="D77" s="2" t="s">
        <v>61</v>
      </c>
      <c r="E77" s="4">
        <v>600</v>
      </c>
      <c r="F77" s="2">
        <v>1</v>
      </c>
      <c r="G77" s="6">
        <v>600</v>
      </c>
      <c r="H77" t="s">
        <v>80</v>
      </c>
      <c r="I77" t="s">
        <v>30</v>
      </c>
      <c r="J77" t="s">
        <v>27</v>
      </c>
      <c r="K77" t="s">
        <v>40</v>
      </c>
      <c r="L77" t="str">
        <f t="shared" si="2"/>
        <v>Feb-2025</v>
      </c>
      <c r="M77" s="11" t="str">
        <f t="shared" si="3"/>
        <v>Feb-2025-week4</v>
      </c>
    </row>
    <row r="78" spans="1:13" x14ac:dyDescent="0.25">
      <c r="A78" s="2" t="s">
        <v>130</v>
      </c>
      <c r="B78" s="3">
        <v>45736</v>
      </c>
      <c r="C78" s="2" t="s">
        <v>19</v>
      </c>
      <c r="D78" s="2" t="s">
        <v>20</v>
      </c>
      <c r="E78" s="4">
        <v>100</v>
      </c>
      <c r="F78" s="2">
        <v>2</v>
      </c>
      <c r="G78" s="6">
        <v>200</v>
      </c>
      <c r="H78" t="s">
        <v>57</v>
      </c>
      <c r="I78" t="s">
        <v>38</v>
      </c>
      <c r="J78" t="s">
        <v>31</v>
      </c>
      <c r="K78" t="s">
        <v>40</v>
      </c>
      <c r="L78" t="str">
        <f t="shared" si="2"/>
        <v>Mar-2025</v>
      </c>
      <c r="M78" s="11" t="str">
        <f t="shared" si="3"/>
        <v>Mar-2025-week3</v>
      </c>
    </row>
    <row r="79" spans="1:13" x14ac:dyDescent="0.25">
      <c r="A79" s="2" t="s">
        <v>131</v>
      </c>
      <c r="B79" s="3">
        <v>45734</v>
      </c>
      <c r="C79" s="2" t="s">
        <v>33</v>
      </c>
      <c r="D79" s="2" t="s">
        <v>20</v>
      </c>
      <c r="E79" s="4">
        <v>150</v>
      </c>
      <c r="F79" s="2">
        <v>2</v>
      </c>
      <c r="G79" s="6">
        <v>300</v>
      </c>
      <c r="H79" t="s">
        <v>14</v>
      </c>
      <c r="I79" t="s">
        <v>68</v>
      </c>
      <c r="J79" t="s">
        <v>58</v>
      </c>
      <c r="K79" t="s">
        <v>17</v>
      </c>
      <c r="L79" t="str">
        <f t="shared" si="2"/>
        <v>Mar-2025</v>
      </c>
      <c r="M79" s="11" t="str">
        <f t="shared" si="3"/>
        <v>Mar-2025-week3</v>
      </c>
    </row>
    <row r="80" spans="1:13" x14ac:dyDescent="0.25">
      <c r="A80" s="2" t="s">
        <v>132</v>
      </c>
      <c r="B80" s="3">
        <v>45725</v>
      </c>
      <c r="C80" s="2" t="s">
        <v>12</v>
      </c>
      <c r="D80" s="2" t="s">
        <v>13</v>
      </c>
      <c r="E80" s="4">
        <v>60</v>
      </c>
      <c r="F80" s="2">
        <v>2</v>
      </c>
      <c r="G80" s="6">
        <v>120</v>
      </c>
      <c r="H80" t="s">
        <v>21</v>
      </c>
      <c r="I80" t="s">
        <v>26</v>
      </c>
      <c r="J80" t="s">
        <v>58</v>
      </c>
      <c r="K80" t="s">
        <v>17</v>
      </c>
      <c r="L80" t="str">
        <f t="shared" si="2"/>
        <v>Mar-2025</v>
      </c>
      <c r="M80" s="11" t="str">
        <f t="shared" si="3"/>
        <v>Mar-2025-week2</v>
      </c>
    </row>
    <row r="81" spans="1:13" x14ac:dyDescent="0.25">
      <c r="A81" s="2" t="s">
        <v>133</v>
      </c>
      <c r="B81" s="3">
        <v>45711</v>
      </c>
      <c r="C81" s="2" t="s">
        <v>12</v>
      </c>
      <c r="D81" s="2" t="s">
        <v>13</v>
      </c>
      <c r="E81" s="4">
        <v>60</v>
      </c>
      <c r="F81" s="2">
        <v>4</v>
      </c>
      <c r="G81" s="6">
        <v>240</v>
      </c>
      <c r="H81" t="s">
        <v>43</v>
      </c>
      <c r="I81" t="s">
        <v>22</v>
      </c>
      <c r="J81" t="s">
        <v>16</v>
      </c>
      <c r="K81" t="s">
        <v>23</v>
      </c>
      <c r="L81" t="str">
        <f t="shared" si="2"/>
        <v>Feb-2025</v>
      </c>
      <c r="M81" s="11" t="str">
        <f t="shared" si="3"/>
        <v>Feb-2025-week4</v>
      </c>
    </row>
    <row r="82" spans="1:13" x14ac:dyDescent="0.25">
      <c r="A82" s="2" t="s">
        <v>134</v>
      </c>
      <c r="B82" s="3">
        <v>45714</v>
      </c>
      <c r="C82" s="2" t="s">
        <v>19</v>
      </c>
      <c r="D82" s="2" t="s">
        <v>20</v>
      </c>
      <c r="E82" s="4">
        <v>100</v>
      </c>
      <c r="F82" s="2">
        <v>3</v>
      </c>
      <c r="G82" s="6">
        <v>300</v>
      </c>
      <c r="H82" t="s">
        <v>54</v>
      </c>
      <c r="I82" t="s">
        <v>81</v>
      </c>
      <c r="J82" t="s">
        <v>39</v>
      </c>
      <c r="K82" t="s">
        <v>17</v>
      </c>
      <c r="L82" t="str">
        <f t="shared" si="2"/>
        <v>Feb-2025</v>
      </c>
      <c r="M82" s="11" t="str">
        <f t="shared" si="3"/>
        <v>Feb-2025-week4</v>
      </c>
    </row>
    <row r="83" spans="1:13" x14ac:dyDescent="0.25">
      <c r="A83" s="2" t="s">
        <v>135</v>
      </c>
      <c r="B83" s="3">
        <v>45712</v>
      </c>
      <c r="C83" s="2" t="s">
        <v>42</v>
      </c>
      <c r="D83" s="2" t="s">
        <v>20</v>
      </c>
      <c r="E83" s="4">
        <v>500</v>
      </c>
      <c r="F83" s="2">
        <v>3</v>
      </c>
      <c r="G83" s="6">
        <v>1500</v>
      </c>
      <c r="H83" t="s">
        <v>80</v>
      </c>
      <c r="I83" t="s">
        <v>63</v>
      </c>
      <c r="J83" t="s">
        <v>16</v>
      </c>
      <c r="K83" t="s">
        <v>17</v>
      </c>
      <c r="L83" t="str">
        <f t="shared" si="2"/>
        <v>Feb-2025</v>
      </c>
      <c r="M83" s="11" t="str">
        <f t="shared" si="3"/>
        <v>Feb-2025-week4</v>
      </c>
    </row>
    <row r="84" spans="1:13" x14ac:dyDescent="0.25">
      <c r="A84" s="2" t="s">
        <v>136</v>
      </c>
      <c r="B84" s="3">
        <v>45716</v>
      </c>
      <c r="C84" s="2" t="s">
        <v>60</v>
      </c>
      <c r="D84" s="2" t="s">
        <v>61</v>
      </c>
      <c r="E84" s="4">
        <v>600</v>
      </c>
      <c r="F84" s="2">
        <v>4</v>
      </c>
      <c r="G84" s="6">
        <v>2400</v>
      </c>
      <c r="H84" t="s">
        <v>14</v>
      </c>
      <c r="I84" t="s">
        <v>38</v>
      </c>
      <c r="J84" t="s">
        <v>58</v>
      </c>
      <c r="K84" t="s">
        <v>17</v>
      </c>
      <c r="L84" t="str">
        <f t="shared" si="2"/>
        <v>Feb-2025</v>
      </c>
      <c r="M84" s="11" t="str">
        <f t="shared" si="3"/>
        <v>Feb-2025-week4</v>
      </c>
    </row>
    <row r="85" spans="1:13" x14ac:dyDescent="0.25">
      <c r="A85" s="2" t="s">
        <v>137</v>
      </c>
      <c r="B85" s="3">
        <v>45702</v>
      </c>
      <c r="C85" s="2" t="s">
        <v>35</v>
      </c>
      <c r="D85" s="2" t="s">
        <v>36</v>
      </c>
      <c r="E85" s="4">
        <v>20</v>
      </c>
      <c r="F85" s="2">
        <v>5</v>
      </c>
      <c r="G85" s="6">
        <v>100</v>
      </c>
      <c r="H85" t="s">
        <v>29</v>
      </c>
      <c r="I85" t="s">
        <v>46</v>
      </c>
      <c r="J85" t="s">
        <v>39</v>
      </c>
      <c r="K85" t="s">
        <v>40</v>
      </c>
      <c r="L85" t="str">
        <f t="shared" si="2"/>
        <v>Feb-2025</v>
      </c>
      <c r="M85" s="11" t="str">
        <f t="shared" si="3"/>
        <v>Feb-2025-week2</v>
      </c>
    </row>
    <row r="86" spans="1:13" x14ac:dyDescent="0.25">
      <c r="A86" s="2" t="s">
        <v>138</v>
      </c>
      <c r="B86" s="3">
        <v>45694</v>
      </c>
      <c r="C86" s="2" t="s">
        <v>42</v>
      </c>
      <c r="D86" s="2" t="s">
        <v>20</v>
      </c>
      <c r="E86" s="4">
        <v>500</v>
      </c>
      <c r="F86" s="2">
        <v>5</v>
      </c>
      <c r="G86" s="6">
        <v>2500</v>
      </c>
      <c r="H86" t="s">
        <v>54</v>
      </c>
      <c r="I86" t="s">
        <v>38</v>
      </c>
      <c r="J86" t="s">
        <v>39</v>
      </c>
      <c r="K86" t="s">
        <v>40</v>
      </c>
      <c r="L86" t="str">
        <f t="shared" si="2"/>
        <v>Feb-2025</v>
      </c>
      <c r="M86" s="11" t="str">
        <f t="shared" si="3"/>
        <v>Feb-2025-week1</v>
      </c>
    </row>
    <row r="87" spans="1:13" x14ac:dyDescent="0.25">
      <c r="A87" s="2" t="s">
        <v>139</v>
      </c>
      <c r="B87" s="3">
        <v>45713</v>
      </c>
      <c r="C87" s="2" t="s">
        <v>33</v>
      </c>
      <c r="D87" s="2" t="s">
        <v>20</v>
      </c>
      <c r="E87" s="4">
        <v>150</v>
      </c>
      <c r="F87" s="2">
        <v>5</v>
      </c>
      <c r="G87" s="6">
        <v>750</v>
      </c>
      <c r="H87" t="s">
        <v>80</v>
      </c>
      <c r="I87" t="s">
        <v>30</v>
      </c>
      <c r="J87" t="s">
        <v>39</v>
      </c>
      <c r="K87" t="s">
        <v>17</v>
      </c>
      <c r="L87" t="str">
        <f t="shared" si="2"/>
        <v>Feb-2025</v>
      </c>
      <c r="M87" s="11" t="str">
        <f t="shared" si="3"/>
        <v>Feb-2025-week4</v>
      </c>
    </row>
    <row r="88" spans="1:13" x14ac:dyDescent="0.25">
      <c r="A88" s="2" t="s">
        <v>140</v>
      </c>
      <c r="B88" s="3">
        <v>45729</v>
      </c>
      <c r="C88" s="2" t="s">
        <v>12</v>
      </c>
      <c r="D88" s="2" t="s">
        <v>13</v>
      </c>
      <c r="E88" s="4">
        <v>60</v>
      </c>
      <c r="F88" s="2">
        <v>5</v>
      </c>
      <c r="G88" s="6">
        <v>300</v>
      </c>
      <c r="H88" t="s">
        <v>14</v>
      </c>
      <c r="I88" t="s">
        <v>44</v>
      </c>
      <c r="J88" t="s">
        <v>16</v>
      </c>
      <c r="K88" t="s">
        <v>40</v>
      </c>
      <c r="L88" t="str">
        <f t="shared" si="2"/>
        <v>Mar-2025</v>
      </c>
      <c r="M88" s="11" t="str">
        <f t="shared" si="3"/>
        <v>Mar-2025-week2</v>
      </c>
    </row>
    <row r="89" spans="1:13" x14ac:dyDescent="0.25">
      <c r="A89" s="2" t="s">
        <v>141</v>
      </c>
      <c r="B89" s="3">
        <v>45694</v>
      </c>
      <c r="C89" s="2" t="s">
        <v>65</v>
      </c>
      <c r="D89" s="2" t="s">
        <v>61</v>
      </c>
      <c r="E89" s="4">
        <v>1200</v>
      </c>
      <c r="F89" s="2">
        <v>2</v>
      </c>
      <c r="G89" s="6">
        <v>2400</v>
      </c>
      <c r="H89" t="s">
        <v>72</v>
      </c>
      <c r="I89" t="s">
        <v>63</v>
      </c>
      <c r="J89" t="s">
        <v>16</v>
      </c>
      <c r="K89" t="s">
        <v>23</v>
      </c>
      <c r="L89" t="str">
        <f t="shared" si="2"/>
        <v>Feb-2025</v>
      </c>
      <c r="M89" s="11" t="str">
        <f t="shared" si="3"/>
        <v>Feb-2025-week1</v>
      </c>
    </row>
    <row r="90" spans="1:13" x14ac:dyDescent="0.25">
      <c r="A90" s="2" t="s">
        <v>142</v>
      </c>
      <c r="B90" s="3">
        <v>45742</v>
      </c>
      <c r="C90" s="2" t="s">
        <v>12</v>
      </c>
      <c r="D90" s="2" t="s">
        <v>13</v>
      </c>
      <c r="E90" s="4">
        <v>60</v>
      </c>
      <c r="F90" s="2">
        <v>5</v>
      </c>
      <c r="G90" s="6">
        <v>300</v>
      </c>
      <c r="H90" t="s">
        <v>14</v>
      </c>
      <c r="I90" t="s">
        <v>68</v>
      </c>
      <c r="J90" t="s">
        <v>31</v>
      </c>
      <c r="K90" t="s">
        <v>17</v>
      </c>
      <c r="L90" t="str">
        <f t="shared" si="2"/>
        <v>Mar-2025</v>
      </c>
      <c r="M90" s="11" t="str">
        <f t="shared" si="3"/>
        <v>Mar-2025-week4</v>
      </c>
    </row>
    <row r="91" spans="1:13" x14ac:dyDescent="0.25">
      <c r="A91" s="2" t="s">
        <v>143</v>
      </c>
      <c r="B91" s="3">
        <v>45740</v>
      </c>
      <c r="C91" s="2" t="s">
        <v>33</v>
      </c>
      <c r="D91" s="2" t="s">
        <v>20</v>
      </c>
      <c r="E91" s="4">
        <v>150</v>
      </c>
      <c r="F91" s="2">
        <v>5</v>
      </c>
      <c r="G91" s="6">
        <v>750</v>
      </c>
      <c r="H91" t="s">
        <v>21</v>
      </c>
      <c r="I91" t="s">
        <v>38</v>
      </c>
      <c r="J91" t="s">
        <v>27</v>
      </c>
      <c r="K91" t="s">
        <v>40</v>
      </c>
      <c r="L91" t="str">
        <f t="shared" si="2"/>
        <v>Mar-2025</v>
      </c>
      <c r="M91" s="11" t="str">
        <f t="shared" si="3"/>
        <v>Mar-2025-week4</v>
      </c>
    </row>
    <row r="92" spans="1:13" x14ac:dyDescent="0.25">
      <c r="A92" s="2" t="s">
        <v>144</v>
      </c>
      <c r="B92" s="3">
        <v>45691</v>
      </c>
      <c r="C92" s="2" t="s">
        <v>56</v>
      </c>
      <c r="D92" s="2" t="s">
        <v>20</v>
      </c>
      <c r="E92" s="4">
        <v>800</v>
      </c>
      <c r="F92" s="2">
        <v>4</v>
      </c>
      <c r="G92" s="6">
        <v>3200</v>
      </c>
      <c r="H92" t="s">
        <v>57</v>
      </c>
      <c r="I92" t="s">
        <v>38</v>
      </c>
      <c r="J92" t="s">
        <v>58</v>
      </c>
      <c r="K92" t="s">
        <v>23</v>
      </c>
      <c r="L92" t="str">
        <f t="shared" si="2"/>
        <v>Feb-2025</v>
      </c>
      <c r="M92" s="11" t="str">
        <f t="shared" si="3"/>
        <v>Feb-2025-week1</v>
      </c>
    </row>
    <row r="93" spans="1:13" x14ac:dyDescent="0.25">
      <c r="A93" s="2" t="s">
        <v>145</v>
      </c>
      <c r="B93" s="3">
        <v>45731</v>
      </c>
      <c r="C93" s="2" t="s">
        <v>42</v>
      </c>
      <c r="D93" s="2" t="s">
        <v>20</v>
      </c>
      <c r="E93" s="4">
        <v>500</v>
      </c>
      <c r="F93" s="2">
        <v>2</v>
      </c>
      <c r="G93" s="6">
        <v>1000</v>
      </c>
      <c r="H93" t="s">
        <v>29</v>
      </c>
      <c r="I93" t="s">
        <v>46</v>
      </c>
      <c r="J93" t="s">
        <v>39</v>
      </c>
      <c r="K93" t="s">
        <v>17</v>
      </c>
      <c r="L93" t="str">
        <f t="shared" si="2"/>
        <v>Mar-2025</v>
      </c>
      <c r="M93" s="11" t="str">
        <f t="shared" si="3"/>
        <v>Mar-2025-week3</v>
      </c>
    </row>
    <row r="94" spans="1:13" x14ac:dyDescent="0.25">
      <c r="A94" s="2" t="s">
        <v>146</v>
      </c>
      <c r="B94" s="3">
        <v>45722</v>
      </c>
      <c r="C94" s="2" t="s">
        <v>65</v>
      </c>
      <c r="D94" s="2" t="s">
        <v>61</v>
      </c>
      <c r="E94" s="4">
        <v>1200</v>
      </c>
      <c r="F94" s="2">
        <v>5</v>
      </c>
      <c r="G94" s="6">
        <v>6000</v>
      </c>
      <c r="H94" t="s">
        <v>51</v>
      </c>
      <c r="I94" t="s">
        <v>26</v>
      </c>
      <c r="J94" t="s">
        <v>39</v>
      </c>
      <c r="K94" t="s">
        <v>17</v>
      </c>
      <c r="L94" t="str">
        <f t="shared" si="2"/>
        <v>Mar-2025</v>
      </c>
      <c r="M94" s="11" t="str">
        <f t="shared" si="3"/>
        <v>Mar-2025-week1</v>
      </c>
    </row>
    <row r="95" spans="1:13" x14ac:dyDescent="0.25">
      <c r="A95" s="2" t="s">
        <v>147</v>
      </c>
      <c r="B95" s="3">
        <v>45741</v>
      </c>
      <c r="C95" s="2" t="s">
        <v>53</v>
      </c>
      <c r="D95" s="2" t="s">
        <v>36</v>
      </c>
      <c r="E95" s="4">
        <v>40</v>
      </c>
      <c r="F95" s="2">
        <v>5</v>
      </c>
      <c r="G95" s="6">
        <v>200</v>
      </c>
      <c r="H95" t="s">
        <v>57</v>
      </c>
      <c r="I95" t="s">
        <v>63</v>
      </c>
      <c r="J95" t="s">
        <v>31</v>
      </c>
      <c r="K95" t="s">
        <v>17</v>
      </c>
      <c r="L95" t="str">
        <f t="shared" si="2"/>
        <v>Mar-2025</v>
      </c>
      <c r="M95" s="11" t="str">
        <f t="shared" si="3"/>
        <v>Mar-2025-week4</v>
      </c>
    </row>
    <row r="96" spans="1:13" x14ac:dyDescent="0.25">
      <c r="A96" s="2" t="s">
        <v>148</v>
      </c>
      <c r="B96" s="3">
        <v>45705</v>
      </c>
      <c r="C96" s="2" t="s">
        <v>33</v>
      </c>
      <c r="D96" s="2" t="s">
        <v>20</v>
      </c>
      <c r="E96" s="4">
        <v>150</v>
      </c>
      <c r="F96" s="2">
        <v>4</v>
      </c>
      <c r="G96" s="6">
        <v>600</v>
      </c>
      <c r="H96" t="s">
        <v>72</v>
      </c>
      <c r="I96" t="s">
        <v>15</v>
      </c>
      <c r="J96" t="s">
        <v>16</v>
      </c>
      <c r="K96" t="s">
        <v>17</v>
      </c>
      <c r="L96" t="str">
        <f t="shared" si="2"/>
        <v>Feb-2025</v>
      </c>
      <c r="M96" s="11" t="str">
        <f t="shared" si="3"/>
        <v>Feb-2025-week3</v>
      </c>
    </row>
    <row r="97" spans="1:13" x14ac:dyDescent="0.25">
      <c r="A97" s="2" t="s">
        <v>149</v>
      </c>
      <c r="B97" s="3">
        <v>45746</v>
      </c>
      <c r="C97" s="2" t="s">
        <v>33</v>
      </c>
      <c r="D97" s="2" t="s">
        <v>20</v>
      </c>
      <c r="E97" s="4">
        <v>150</v>
      </c>
      <c r="F97" s="2">
        <v>3</v>
      </c>
      <c r="G97" s="6">
        <v>450</v>
      </c>
      <c r="H97" t="s">
        <v>80</v>
      </c>
      <c r="I97" t="s">
        <v>15</v>
      </c>
      <c r="J97" t="s">
        <v>27</v>
      </c>
      <c r="K97" t="s">
        <v>40</v>
      </c>
      <c r="L97" t="str">
        <f t="shared" si="2"/>
        <v>Mar-2025</v>
      </c>
      <c r="M97" s="11" t="str">
        <f t="shared" si="3"/>
        <v>Mar-2025-week5</v>
      </c>
    </row>
    <row r="98" spans="1:13" x14ac:dyDescent="0.25">
      <c r="A98" s="2" t="s">
        <v>150</v>
      </c>
      <c r="B98" s="3">
        <v>45741</v>
      </c>
      <c r="C98" s="2" t="s">
        <v>49</v>
      </c>
      <c r="D98" s="2" t="s">
        <v>50</v>
      </c>
      <c r="E98" s="4">
        <v>15</v>
      </c>
      <c r="F98" s="2">
        <v>5</v>
      </c>
      <c r="G98" s="6">
        <v>75</v>
      </c>
      <c r="H98" t="s">
        <v>29</v>
      </c>
      <c r="I98" t="s">
        <v>81</v>
      </c>
      <c r="J98" t="s">
        <v>27</v>
      </c>
      <c r="K98" t="s">
        <v>23</v>
      </c>
      <c r="L98" t="str">
        <f t="shared" si="2"/>
        <v>Mar-2025</v>
      </c>
      <c r="M98" s="11" t="str">
        <f t="shared" si="3"/>
        <v>Mar-2025-week4</v>
      </c>
    </row>
    <row r="99" spans="1:13" x14ac:dyDescent="0.25">
      <c r="A99" s="2" t="s">
        <v>151</v>
      </c>
      <c r="B99" s="3">
        <v>45702</v>
      </c>
      <c r="C99" s="2" t="s">
        <v>33</v>
      </c>
      <c r="D99" s="2" t="s">
        <v>20</v>
      </c>
      <c r="E99" s="4">
        <v>150</v>
      </c>
      <c r="F99" s="2">
        <v>2</v>
      </c>
      <c r="G99" s="6">
        <v>300</v>
      </c>
      <c r="H99" t="s">
        <v>72</v>
      </c>
      <c r="I99" t="s">
        <v>44</v>
      </c>
      <c r="J99" t="s">
        <v>39</v>
      </c>
      <c r="K99" t="s">
        <v>23</v>
      </c>
      <c r="L99" t="str">
        <f t="shared" si="2"/>
        <v>Feb-2025</v>
      </c>
      <c r="M99" s="11" t="str">
        <f t="shared" si="3"/>
        <v>Feb-2025-week2</v>
      </c>
    </row>
    <row r="100" spans="1:13" x14ac:dyDescent="0.25">
      <c r="A100" s="2" t="s">
        <v>152</v>
      </c>
      <c r="B100" s="3">
        <v>45706</v>
      </c>
      <c r="C100" s="2" t="s">
        <v>60</v>
      </c>
      <c r="D100" s="2" t="s">
        <v>61</v>
      </c>
      <c r="E100" s="4">
        <v>600</v>
      </c>
      <c r="F100" s="2">
        <v>5</v>
      </c>
      <c r="G100" s="6">
        <v>3000</v>
      </c>
      <c r="H100" t="s">
        <v>54</v>
      </c>
      <c r="I100" t="s">
        <v>63</v>
      </c>
      <c r="J100" t="s">
        <v>16</v>
      </c>
      <c r="K100" t="s">
        <v>40</v>
      </c>
      <c r="L100" t="str">
        <f t="shared" si="2"/>
        <v>Feb-2025</v>
      </c>
      <c r="M100" s="11" t="str">
        <f t="shared" si="3"/>
        <v>Feb-2025-week3</v>
      </c>
    </row>
    <row r="101" spans="1:13" x14ac:dyDescent="0.25">
      <c r="A101" s="2" t="s">
        <v>153</v>
      </c>
      <c r="B101" s="3">
        <v>45701</v>
      </c>
      <c r="C101" s="2" t="s">
        <v>12</v>
      </c>
      <c r="D101" s="2" t="s">
        <v>13</v>
      </c>
      <c r="E101" s="4">
        <v>60</v>
      </c>
      <c r="F101" s="2">
        <v>1</v>
      </c>
      <c r="G101" s="6">
        <v>60</v>
      </c>
      <c r="H101" t="s">
        <v>80</v>
      </c>
      <c r="I101" t="s">
        <v>38</v>
      </c>
      <c r="J101" t="s">
        <v>58</v>
      </c>
      <c r="K101" t="s">
        <v>17</v>
      </c>
      <c r="L101" t="str">
        <f t="shared" si="2"/>
        <v>Feb-2025</v>
      </c>
      <c r="M101" s="11" t="str">
        <f t="shared" si="3"/>
        <v>Feb-2025-week2</v>
      </c>
    </row>
    <row r="102" spans="1:13" x14ac:dyDescent="0.25">
      <c r="A102" s="2" t="s">
        <v>154</v>
      </c>
      <c r="B102" s="3">
        <v>45708</v>
      </c>
      <c r="C102" s="2" t="s">
        <v>49</v>
      </c>
      <c r="D102" s="2" t="s">
        <v>50</v>
      </c>
      <c r="E102" s="4">
        <v>15</v>
      </c>
      <c r="F102" s="2">
        <v>5</v>
      </c>
      <c r="G102" s="6">
        <v>75</v>
      </c>
      <c r="H102" t="s">
        <v>25</v>
      </c>
      <c r="I102" t="s">
        <v>26</v>
      </c>
      <c r="J102" t="s">
        <v>39</v>
      </c>
      <c r="K102" t="s">
        <v>23</v>
      </c>
      <c r="L102" t="str">
        <f t="shared" si="2"/>
        <v>Feb-2025</v>
      </c>
      <c r="M102" s="11" t="str">
        <f t="shared" si="3"/>
        <v>Feb-2025-week3</v>
      </c>
    </row>
    <row r="103" spans="1:13" x14ac:dyDescent="0.25">
      <c r="A103" s="2" t="s">
        <v>155</v>
      </c>
      <c r="B103" s="3">
        <v>45716</v>
      </c>
      <c r="C103" s="2" t="s">
        <v>42</v>
      </c>
      <c r="D103" s="2" t="s">
        <v>20</v>
      </c>
      <c r="E103" s="4">
        <v>500</v>
      </c>
      <c r="F103" s="2">
        <v>2</v>
      </c>
      <c r="G103" s="6">
        <v>1000</v>
      </c>
      <c r="H103" t="s">
        <v>51</v>
      </c>
      <c r="I103" t="s">
        <v>46</v>
      </c>
      <c r="J103" t="s">
        <v>39</v>
      </c>
      <c r="K103" t="s">
        <v>23</v>
      </c>
      <c r="L103" t="str">
        <f t="shared" si="2"/>
        <v>Feb-2025</v>
      </c>
      <c r="M103" s="11" t="str">
        <f t="shared" si="3"/>
        <v>Feb-2025-week4</v>
      </c>
    </row>
    <row r="104" spans="1:13" x14ac:dyDescent="0.25">
      <c r="A104" s="2" t="s">
        <v>156</v>
      </c>
      <c r="B104" s="3">
        <v>45730</v>
      </c>
      <c r="C104" s="2" t="s">
        <v>35</v>
      </c>
      <c r="D104" s="2" t="s">
        <v>36</v>
      </c>
      <c r="E104" s="4">
        <v>20</v>
      </c>
      <c r="F104" s="2">
        <v>2</v>
      </c>
      <c r="G104" s="6">
        <v>40</v>
      </c>
      <c r="H104" t="s">
        <v>54</v>
      </c>
      <c r="I104" t="s">
        <v>81</v>
      </c>
      <c r="J104" t="s">
        <v>39</v>
      </c>
      <c r="K104" t="s">
        <v>23</v>
      </c>
      <c r="L104" t="str">
        <f t="shared" si="2"/>
        <v>Mar-2025</v>
      </c>
      <c r="M104" s="11" t="str">
        <f t="shared" si="3"/>
        <v>Mar-2025-week2</v>
      </c>
    </row>
    <row r="105" spans="1:13" x14ac:dyDescent="0.25">
      <c r="A105" s="2" t="s">
        <v>157</v>
      </c>
      <c r="B105" s="3">
        <v>45710</v>
      </c>
      <c r="C105" s="2" t="s">
        <v>53</v>
      </c>
      <c r="D105" s="2" t="s">
        <v>36</v>
      </c>
      <c r="E105" s="4">
        <v>40</v>
      </c>
      <c r="F105" s="2">
        <v>5</v>
      </c>
      <c r="G105" s="6">
        <v>200</v>
      </c>
      <c r="H105" t="s">
        <v>80</v>
      </c>
      <c r="I105" t="s">
        <v>30</v>
      </c>
      <c r="J105" t="s">
        <v>16</v>
      </c>
      <c r="K105" t="s">
        <v>23</v>
      </c>
      <c r="L105" t="str">
        <f t="shared" si="2"/>
        <v>Feb-2025</v>
      </c>
      <c r="M105" s="11" t="str">
        <f t="shared" si="3"/>
        <v>Feb-2025-week4</v>
      </c>
    </row>
    <row r="106" spans="1:13" x14ac:dyDescent="0.25">
      <c r="A106" s="2" t="s">
        <v>158</v>
      </c>
      <c r="B106" s="3">
        <v>45732</v>
      </c>
      <c r="C106" s="2" t="s">
        <v>53</v>
      </c>
      <c r="D106" s="2" t="s">
        <v>36</v>
      </c>
      <c r="E106" s="4">
        <v>40</v>
      </c>
      <c r="F106" s="2">
        <v>1</v>
      </c>
      <c r="G106" s="6">
        <v>40</v>
      </c>
      <c r="H106" t="s">
        <v>80</v>
      </c>
      <c r="I106" t="s">
        <v>46</v>
      </c>
      <c r="J106" t="s">
        <v>16</v>
      </c>
      <c r="K106" t="s">
        <v>23</v>
      </c>
      <c r="L106" t="str">
        <f t="shared" si="2"/>
        <v>Mar-2025</v>
      </c>
      <c r="M106" s="11" t="str">
        <f t="shared" si="3"/>
        <v>Mar-2025-week3</v>
      </c>
    </row>
    <row r="107" spans="1:13" x14ac:dyDescent="0.25">
      <c r="A107" s="2" t="s">
        <v>159</v>
      </c>
      <c r="B107" s="3">
        <v>45731</v>
      </c>
      <c r="C107" s="2" t="s">
        <v>35</v>
      </c>
      <c r="D107" s="2" t="s">
        <v>36</v>
      </c>
      <c r="E107" s="4">
        <v>20</v>
      </c>
      <c r="F107" s="2">
        <v>3</v>
      </c>
      <c r="G107" s="6">
        <v>60</v>
      </c>
      <c r="H107" t="s">
        <v>29</v>
      </c>
      <c r="I107" t="s">
        <v>81</v>
      </c>
      <c r="J107" t="s">
        <v>39</v>
      </c>
      <c r="K107" t="s">
        <v>23</v>
      </c>
      <c r="L107" t="str">
        <f t="shared" si="2"/>
        <v>Mar-2025</v>
      </c>
      <c r="M107" s="11" t="str">
        <f t="shared" si="3"/>
        <v>Mar-2025-week3</v>
      </c>
    </row>
    <row r="108" spans="1:13" x14ac:dyDescent="0.25">
      <c r="A108" s="2" t="s">
        <v>160</v>
      </c>
      <c r="B108" s="3">
        <v>45735</v>
      </c>
      <c r="C108" s="2" t="s">
        <v>53</v>
      </c>
      <c r="D108" s="2" t="s">
        <v>36</v>
      </c>
      <c r="E108" s="4">
        <v>40</v>
      </c>
      <c r="F108" s="2">
        <v>3</v>
      </c>
      <c r="G108" s="6">
        <v>120</v>
      </c>
      <c r="H108" t="s">
        <v>29</v>
      </c>
      <c r="I108" t="s">
        <v>30</v>
      </c>
      <c r="J108" t="s">
        <v>31</v>
      </c>
      <c r="K108" t="s">
        <v>17</v>
      </c>
      <c r="L108" t="str">
        <f t="shared" si="2"/>
        <v>Mar-2025</v>
      </c>
      <c r="M108" s="11" t="str">
        <f t="shared" si="3"/>
        <v>Mar-2025-week3</v>
      </c>
    </row>
    <row r="109" spans="1:13" x14ac:dyDescent="0.25">
      <c r="A109" s="2" t="s">
        <v>161</v>
      </c>
      <c r="B109" s="3">
        <v>45732</v>
      </c>
      <c r="C109" s="2" t="s">
        <v>19</v>
      </c>
      <c r="D109" s="2" t="s">
        <v>20</v>
      </c>
      <c r="E109" s="4">
        <v>100</v>
      </c>
      <c r="F109" s="2">
        <v>2</v>
      </c>
      <c r="G109" s="6">
        <v>200</v>
      </c>
      <c r="H109" t="s">
        <v>57</v>
      </c>
      <c r="I109" t="s">
        <v>44</v>
      </c>
      <c r="J109" t="s">
        <v>39</v>
      </c>
      <c r="K109" t="s">
        <v>23</v>
      </c>
      <c r="L109" t="str">
        <f t="shared" si="2"/>
        <v>Mar-2025</v>
      </c>
      <c r="M109" s="11" t="str">
        <f t="shared" si="3"/>
        <v>Mar-2025-week3</v>
      </c>
    </row>
    <row r="110" spans="1:13" x14ac:dyDescent="0.25">
      <c r="A110" s="2" t="s">
        <v>162</v>
      </c>
      <c r="B110" s="3">
        <v>45733</v>
      </c>
      <c r="C110" s="2" t="s">
        <v>53</v>
      </c>
      <c r="D110" s="2" t="s">
        <v>36</v>
      </c>
      <c r="E110" s="4">
        <v>40</v>
      </c>
      <c r="F110" s="2">
        <v>5</v>
      </c>
      <c r="G110" s="6">
        <v>200</v>
      </c>
      <c r="H110" t="s">
        <v>54</v>
      </c>
      <c r="I110" t="s">
        <v>15</v>
      </c>
      <c r="J110" t="s">
        <v>39</v>
      </c>
      <c r="K110" t="s">
        <v>40</v>
      </c>
      <c r="L110" t="str">
        <f t="shared" si="2"/>
        <v>Mar-2025</v>
      </c>
      <c r="M110" s="11" t="str">
        <f t="shared" si="3"/>
        <v>Mar-2025-week3</v>
      </c>
    </row>
    <row r="111" spans="1:13" x14ac:dyDescent="0.25">
      <c r="A111" s="2" t="s">
        <v>163</v>
      </c>
      <c r="B111" s="3">
        <v>45706</v>
      </c>
      <c r="C111" s="2" t="s">
        <v>42</v>
      </c>
      <c r="D111" s="2" t="s">
        <v>20</v>
      </c>
      <c r="E111" s="4">
        <v>500</v>
      </c>
      <c r="F111" s="2">
        <v>5</v>
      </c>
      <c r="G111" s="6">
        <v>2500</v>
      </c>
      <c r="H111" t="s">
        <v>29</v>
      </c>
      <c r="I111" t="s">
        <v>30</v>
      </c>
      <c r="J111" t="s">
        <v>27</v>
      </c>
      <c r="K111" t="s">
        <v>23</v>
      </c>
      <c r="L111" t="str">
        <f t="shared" si="2"/>
        <v>Feb-2025</v>
      </c>
      <c r="M111" s="11" t="str">
        <f t="shared" si="3"/>
        <v>Feb-2025-week3</v>
      </c>
    </row>
    <row r="112" spans="1:13" x14ac:dyDescent="0.25">
      <c r="A112" s="2" t="s">
        <v>164</v>
      </c>
      <c r="B112" s="3">
        <v>45747</v>
      </c>
      <c r="C112" s="2" t="s">
        <v>56</v>
      </c>
      <c r="D112" s="2" t="s">
        <v>20</v>
      </c>
      <c r="E112" s="4">
        <v>800</v>
      </c>
      <c r="F112" s="2">
        <v>4</v>
      </c>
      <c r="G112" s="6">
        <v>3200</v>
      </c>
      <c r="H112" t="s">
        <v>14</v>
      </c>
      <c r="I112" t="s">
        <v>68</v>
      </c>
      <c r="J112" t="s">
        <v>31</v>
      </c>
      <c r="K112" t="s">
        <v>40</v>
      </c>
      <c r="L112" t="str">
        <f t="shared" si="2"/>
        <v>Mar-2025</v>
      </c>
      <c r="M112" s="11" t="str">
        <f t="shared" si="3"/>
        <v>Mar-2025-week5</v>
      </c>
    </row>
    <row r="113" spans="1:13" x14ac:dyDescent="0.25">
      <c r="A113" s="2" t="s">
        <v>165</v>
      </c>
      <c r="B113" s="3">
        <v>45722</v>
      </c>
      <c r="C113" s="2" t="s">
        <v>60</v>
      </c>
      <c r="D113" s="2" t="s">
        <v>61</v>
      </c>
      <c r="E113" s="4">
        <v>600</v>
      </c>
      <c r="F113" s="2">
        <v>2</v>
      </c>
      <c r="G113" s="6">
        <v>1200</v>
      </c>
      <c r="H113" t="s">
        <v>51</v>
      </c>
      <c r="I113" t="s">
        <v>30</v>
      </c>
      <c r="J113" t="s">
        <v>58</v>
      </c>
      <c r="K113" t="s">
        <v>17</v>
      </c>
      <c r="L113" t="str">
        <f t="shared" si="2"/>
        <v>Mar-2025</v>
      </c>
      <c r="M113" s="11" t="str">
        <f t="shared" si="3"/>
        <v>Mar-2025-week1</v>
      </c>
    </row>
    <row r="114" spans="1:13" x14ac:dyDescent="0.25">
      <c r="A114" s="2" t="s">
        <v>166</v>
      </c>
      <c r="B114" s="3">
        <v>45735</v>
      </c>
      <c r="C114" s="2" t="s">
        <v>49</v>
      </c>
      <c r="D114" s="2" t="s">
        <v>50</v>
      </c>
      <c r="E114" s="4">
        <v>15</v>
      </c>
      <c r="F114" s="2">
        <v>5</v>
      </c>
      <c r="G114" s="6">
        <v>75</v>
      </c>
      <c r="H114" t="s">
        <v>51</v>
      </c>
      <c r="I114" t="s">
        <v>22</v>
      </c>
      <c r="J114" t="s">
        <v>16</v>
      </c>
      <c r="K114" t="s">
        <v>23</v>
      </c>
      <c r="L114" t="str">
        <f t="shared" si="2"/>
        <v>Mar-2025</v>
      </c>
      <c r="M114" s="11" t="str">
        <f t="shared" si="3"/>
        <v>Mar-2025-week3</v>
      </c>
    </row>
    <row r="115" spans="1:13" x14ac:dyDescent="0.25">
      <c r="A115" s="2" t="s">
        <v>167</v>
      </c>
      <c r="B115" s="3">
        <v>45711</v>
      </c>
      <c r="C115" s="2" t="s">
        <v>12</v>
      </c>
      <c r="D115" s="2" t="s">
        <v>13</v>
      </c>
      <c r="E115" s="4">
        <v>60</v>
      </c>
      <c r="F115" s="2">
        <v>1</v>
      </c>
      <c r="G115" s="6">
        <v>60</v>
      </c>
      <c r="H115" t="s">
        <v>14</v>
      </c>
      <c r="I115" t="s">
        <v>38</v>
      </c>
      <c r="J115" t="s">
        <v>31</v>
      </c>
      <c r="K115" t="s">
        <v>23</v>
      </c>
      <c r="L115" t="str">
        <f t="shared" si="2"/>
        <v>Feb-2025</v>
      </c>
      <c r="M115" s="11" t="str">
        <f t="shared" si="3"/>
        <v>Feb-2025-week4</v>
      </c>
    </row>
    <row r="116" spans="1:13" x14ac:dyDescent="0.25">
      <c r="A116" s="2" t="s">
        <v>168</v>
      </c>
      <c r="B116" s="3">
        <v>45737</v>
      </c>
      <c r="C116" s="2" t="s">
        <v>12</v>
      </c>
      <c r="D116" s="2" t="s">
        <v>13</v>
      </c>
      <c r="E116" s="4">
        <v>60</v>
      </c>
      <c r="F116" s="2">
        <v>3</v>
      </c>
      <c r="G116" s="6">
        <v>180</v>
      </c>
      <c r="H116" t="s">
        <v>29</v>
      </c>
      <c r="I116" t="s">
        <v>44</v>
      </c>
      <c r="J116" t="s">
        <v>27</v>
      </c>
      <c r="K116" t="s">
        <v>40</v>
      </c>
      <c r="L116" t="str">
        <f t="shared" si="2"/>
        <v>Mar-2025</v>
      </c>
      <c r="M116" s="11" t="str">
        <f t="shared" si="3"/>
        <v>Mar-2025-week3</v>
      </c>
    </row>
    <row r="117" spans="1:13" x14ac:dyDescent="0.25">
      <c r="A117" s="2" t="s">
        <v>169</v>
      </c>
      <c r="B117" s="3">
        <v>45735</v>
      </c>
      <c r="C117" s="2" t="s">
        <v>56</v>
      </c>
      <c r="D117" s="2" t="s">
        <v>20</v>
      </c>
      <c r="E117" s="4">
        <v>800</v>
      </c>
      <c r="F117" s="2">
        <v>4</v>
      </c>
      <c r="G117" s="6">
        <v>3200</v>
      </c>
      <c r="H117" t="s">
        <v>14</v>
      </c>
      <c r="I117" t="s">
        <v>68</v>
      </c>
      <c r="J117" t="s">
        <v>27</v>
      </c>
      <c r="K117" t="s">
        <v>40</v>
      </c>
      <c r="L117" t="str">
        <f t="shared" si="2"/>
        <v>Mar-2025</v>
      </c>
      <c r="M117" s="11" t="str">
        <f t="shared" si="3"/>
        <v>Mar-2025-week3</v>
      </c>
    </row>
    <row r="118" spans="1:13" x14ac:dyDescent="0.25">
      <c r="A118" s="2" t="s">
        <v>170</v>
      </c>
      <c r="B118" s="3">
        <v>45715</v>
      </c>
      <c r="C118" s="2" t="s">
        <v>35</v>
      </c>
      <c r="D118" s="2" t="s">
        <v>36</v>
      </c>
      <c r="E118" s="4">
        <v>20</v>
      </c>
      <c r="F118" s="2">
        <v>1</v>
      </c>
      <c r="G118" s="6">
        <v>20</v>
      </c>
      <c r="H118" t="s">
        <v>57</v>
      </c>
      <c r="I118" t="s">
        <v>15</v>
      </c>
      <c r="J118" t="s">
        <v>31</v>
      </c>
      <c r="K118" t="s">
        <v>40</v>
      </c>
      <c r="L118" t="str">
        <f t="shared" si="2"/>
        <v>Feb-2025</v>
      </c>
      <c r="M118" s="11" t="str">
        <f t="shared" si="3"/>
        <v>Feb-2025-week4</v>
      </c>
    </row>
    <row r="119" spans="1:13" x14ac:dyDescent="0.25">
      <c r="A119" s="2" t="s">
        <v>171</v>
      </c>
      <c r="B119" s="3">
        <v>45698</v>
      </c>
      <c r="C119" s="2" t="s">
        <v>19</v>
      </c>
      <c r="D119" s="2" t="s">
        <v>20</v>
      </c>
      <c r="E119" s="4">
        <v>100</v>
      </c>
      <c r="F119" s="2">
        <v>5</v>
      </c>
      <c r="G119" s="6">
        <v>500</v>
      </c>
      <c r="H119" t="s">
        <v>25</v>
      </c>
      <c r="I119" t="s">
        <v>38</v>
      </c>
      <c r="J119" t="s">
        <v>27</v>
      </c>
      <c r="K119" t="s">
        <v>40</v>
      </c>
      <c r="L119" t="str">
        <f t="shared" si="2"/>
        <v>Feb-2025</v>
      </c>
      <c r="M119" s="11" t="str">
        <f t="shared" si="3"/>
        <v>Feb-2025-week2</v>
      </c>
    </row>
    <row r="120" spans="1:13" x14ac:dyDescent="0.25">
      <c r="A120" s="2" t="s">
        <v>172</v>
      </c>
      <c r="B120" s="3">
        <v>45732</v>
      </c>
      <c r="C120" s="2" t="s">
        <v>42</v>
      </c>
      <c r="D120" s="2" t="s">
        <v>20</v>
      </c>
      <c r="E120" s="4">
        <v>500</v>
      </c>
      <c r="F120" s="2">
        <v>2</v>
      </c>
      <c r="G120" s="6">
        <v>1000</v>
      </c>
      <c r="H120" t="s">
        <v>72</v>
      </c>
      <c r="I120" t="s">
        <v>81</v>
      </c>
      <c r="J120" t="s">
        <v>39</v>
      </c>
      <c r="K120" t="s">
        <v>23</v>
      </c>
      <c r="L120" t="str">
        <f t="shared" si="2"/>
        <v>Mar-2025</v>
      </c>
      <c r="M120" s="11" t="str">
        <f t="shared" si="3"/>
        <v>Mar-2025-week3</v>
      </c>
    </row>
    <row r="121" spans="1:13" x14ac:dyDescent="0.25">
      <c r="A121" s="2" t="s">
        <v>173</v>
      </c>
      <c r="B121" s="3">
        <v>45704</v>
      </c>
      <c r="C121" s="2" t="s">
        <v>56</v>
      </c>
      <c r="D121" s="2" t="s">
        <v>20</v>
      </c>
      <c r="E121" s="4">
        <v>800</v>
      </c>
      <c r="F121" s="2">
        <v>5</v>
      </c>
      <c r="G121" s="6">
        <v>4000</v>
      </c>
      <c r="H121" t="s">
        <v>21</v>
      </c>
      <c r="I121" t="s">
        <v>26</v>
      </c>
      <c r="J121" t="s">
        <v>39</v>
      </c>
      <c r="K121" t="s">
        <v>40</v>
      </c>
      <c r="L121" t="str">
        <f t="shared" si="2"/>
        <v>Feb-2025</v>
      </c>
      <c r="M121" s="11" t="str">
        <f t="shared" si="3"/>
        <v>Feb-2025-week3</v>
      </c>
    </row>
    <row r="122" spans="1:13" x14ac:dyDescent="0.25">
      <c r="A122" s="2" t="s">
        <v>174</v>
      </c>
      <c r="B122" s="3">
        <v>45706</v>
      </c>
      <c r="C122" s="2" t="s">
        <v>42</v>
      </c>
      <c r="D122" s="2" t="s">
        <v>20</v>
      </c>
      <c r="E122" s="4">
        <v>500</v>
      </c>
      <c r="F122" s="2">
        <v>1</v>
      </c>
      <c r="G122" s="6">
        <v>500</v>
      </c>
      <c r="H122" t="s">
        <v>25</v>
      </c>
      <c r="I122" t="s">
        <v>30</v>
      </c>
      <c r="J122" t="s">
        <v>58</v>
      </c>
      <c r="K122" t="s">
        <v>23</v>
      </c>
      <c r="L122" t="str">
        <f t="shared" si="2"/>
        <v>Feb-2025</v>
      </c>
      <c r="M122" s="11" t="str">
        <f t="shared" si="3"/>
        <v>Feb-2025-week3</v>
      </c>
    </row>
    <row r="123" spans="1:13" x14ac:dyDescent="0.25">
      <c r="A123" s="2" t="s">
        <v>175</v>
      </c>
      <c r="B123" s="3">
        <v>45744</v>
      </c>
      <c r="C123" s="2" t="s">
        <v>56</v>
      </c>
      <c r="D123" s="2" t="s">
        <v>20</v>
      </c>
      <c r="E123" s="4">
        <v>800</v>
      </c>
      <c r="F123" s="2">
        <v>3</v>
      </c>
      <c r="G123" s="6">
        <v>2400</v>
      </c>
      <c r="H123" t="s">
        <v>25</v>
      </c>
      <c r="I123" t="s">
        <v>44</v>
      </c>
      <c r="J123" t="s">
        <v>31</v>
      </c>
      <c r="K123" t="s">
        <v>17</v>
      </c>
      <c r="L123" t="str">
        <f t="shared" si="2"/>
        <v>Mar-2025</v>
      </c>
      <c r="M123" s="11" t="str">
        <f t="shared" si="3"/>
        <v>Mar-2025-week4</v>
      </c>
    </row>
    <row r="124" spans="1:13" x14ac:dyDescent="0.25">
      <c r="A124" s="2" t="s">
        <v>176</v>
      </c>
      <c r="B124" s="3">
        <v>45711</v>
      </c>
      <c r="C124" s="2" t="s">
        <v>49</v>
      </c>
      <c r="D124" s="2" t="s">
        <v>50</v>
      </c>
      <c r="E124" s="4">
        <v>15</v>
      </c>
      <c r="F124" s="2">
        <v>3</v>
      </c>
      <c r="G124" s="6">
        <v>45</v>
      </c>
      <c r="H124" t="s">
        <v>72</v>
      </c>
      <c r="I124" t="s">
        <v>46</v>
      </c>
      <c r="J124" t="s">
        <v>58</v>
      </c>
      <c r="K124" t="s">
        <v>17</v>
      </c>
      <c r="L124" t="str">
        <f t="shared" si="2"/>
        <v>Feb-2025</v>
      </c>
      <c r="M124" s="11" t="str">
        <f t="shared" si="3"/>
        <v>Feb-2025-week4</v>
      </c>
    </row>
    <row r="125" spans="1:13" x14ac:dyDescent="0.25">
      <c r="A125" s="2" t="s">
        <v>177</v>
      </c>
      <c r="B125" s="3">
        <v>45698</v>
      </c>
      <c r="C125" s="2" t="s">
        <v>49</v>
      </c>
      <c r="D125" s="2" t="s">
        <v>50</v>
      </c>
      <c r="E125" s="4">
        <v>15</v>
      </c>
      <c r="F125" s="2">
        <v>1</v>
      </c>
      <c r="G125" s="6">
        <v>15</v>
      </c>
      <c r="H125" t="s">
        <v>14</v>
      </c>
      <c r="I125" t="s">
        <v>63</v>
      </c>
      <c r="J125" t="s">
        <v>58</v>
      </c>
      <c r="K125" t="s">
        <v>23</v>
      </c>
      <c r="L125" t="str">
        <f t="shared" si="2"/>
        <v>Feb-2025</v>
      </c>
      <c r="M125" s="11" t="str">
        <f t="shared" si="3"/>
        <v>Feb-2025-week2</v>
      </c>
    </row>
    <row r="126" spans="1:13" x14ac:dyDescent="0.25">
      <c r="A126" s="2" t="s">
        <v>178</v>
      </c>
      <c r="B126" s="3">
        <v>45711</v>
      </c>
      <c r="C126" s="2" t="s">
        <v>42</v>
      </c>
      <c r="D126" s="2" t="s">
        <v>20</v>
      </c>
      <c r="E126" s="4">
        <v>500</v>
      </c>
      <c r="F126" s="2">
        <v>1</v>
      </c>
      <c r="G126" s="6">
        <v>500</v>
      </c>
      <c r="H126" t="s">
        <v>21</v>
      </c>
      <c r="I126" t="s">
        <v>26</v>
      </c>
      <c r="J126" t="s">
        <v>27</v>
      </c>
      <c r="K126" t="s">
        <v>40</v>
      </c>
      <c r="L126" t="str">
        <f t="shared" si="2"/>
        <v>Feb-2025</v>
      </c>
      <c r="M126" s="11" t="str">
        <f t="shared" si="3"/>
        <v>Feb-2025-week4</v>
      </c>
    </row>
    <row r="127" spans="1:13" x14ac:dyDescent="0.25">
      <c r="A127" s="2" t="s">
        <v>179</v>
      </c>
      <c r="B127" s="3">
        <v>45692</v>
      </c>
      <c r="C127" s="2" t="s">
        <v>65</v>
      </c>
      <c r="D127" s="2" t="s">
        <v>61</v>
      </c>
      <c r="E127" s="4">
        <v>1200</v>
      </c>
      <c r="F127" s="2">
        <v>5</v>
      </c>
      <c r="G127" s="6">
        <v>6000</v>
      </c>
      <c r="H127" t="s">
        <v>29</v>
      </c>
      <c r="I127" t="s">
        <v>81</v>
      </c>
      <c r="J127" t="s">
        <v>58</v>
      </c>
      <c r="K127" t="s">
        <v>23</v>
      </c>
      <c r="L127" t="str">
        <f t="shared" si="2"/>
        <v>Feb-2025</v>
      </c>
      <c r="M127" s="11" t="str">
        <f t="shared" si="3"/>
        <v>Feb-2025-week1</v>
      </c>
    </row>
    <row r="128" spans="1:13" x14ac:dyDescent="0.25">
      <c r="A128" s="2" t="s">
        <v>180</v>
      </c>
      <c r="B128" s="3">
        <v>45706</v>
      </c>
      <c r="C128" s="2" t="s">
        <v>35</v>
      </c>
      <c r="D128" s="2" t="s">
        <v>36</v>
      </c>
      <c r="E128" s="4">
        <v>20</v>
      </c>
      <c r="F128" s="2">
        <v>3</v>
      </c>
      <c r="G128" s="6">
        <v>60</v>
      </c>
      <c r="H128" t="s">
        <v>14</v>
      </c>
      <c r="I128" t="s">
        <v>30</v>
      </c>
      <c r="J128" t="s">
        <v>16</v>
      </c>
      <c r="K128" t="s">
        <v>40</v>
      </c>
      <c r="L128" t="str">
        <f t="shared" si="2"/>
        <v>Feb-2025</v>
      </c>
      <c r="M128" s="11" t="str">
        <f t="shared" si="3"/>
        <v>Feb-2025-week3</v>
      </c>
    </row>
    <row r="129" spans="1:13" x14ac:dyDescent="0.25">
      <c r="A129" s="2" t="s">
        <v>181</v>
      </c>
      <c r="B129" s="3">
        <v>45739</v>
      </c>
      <c r="C129" s="2" t="s">
        <v>33</v>
      </c>
      <c r="D129" s="2" t="s">
        <v>20</v>
      </c>
      <c r="E129" s="4">
        <v>150</v>
      </c>
      <c r="F129" s="2">
        <v>2</v>
      </c>
      <c r="G129" s="6">
        <v>300</v>
      </c>
      <c r="H129" t="s">
        <v>21</v>
      </c>
      <c r="I129" t="s">
        <v>30</v>
      </c>
      <c r="J129" t="s">
        <v>39</v>
      </c>
      <c r="K129" t="s">
        <v>17</v>
      </c>
      <c r="L129" t="str">
        <f t="shared" si="2"/>
        <v>Mar-2025</v>
      </c>
      <c r="M129" s="11" t="str">
        <f t="shared" si="3"/>
        <v>Mar-2025-week4</v>
      </c>
    </row>
    <row r="130" spans="1:13" x14ac:dyDescent="0.25">
      <c r="A130" s="2" t="s">
        <v>182</v>
      </c>
      <c r="B130" s="3">
        <v>45714</v>
      </c>
      <c r="C130" s="2" t="s">
        <v>53</v>
      </c>
      <c r="D130" s="2" t="s">
        <v>36</v>
      </c>
      <c r="E130" s="4">
        <v>40</v>
      </c>
      <c r="F130" s="2">
        <v>5</v>
      </c>
      <c r="G130" s="6">
        <v>200</v>
      </c>
      <c r="H130" t="s">
        <v>21</v>
      </c>
      <c r="I130" t="s">
        <v>15</v>
      </c>
      <c r="J130" t="s">
        <v>16</v>
      </c>
      <c r="K130" t="s">
        <v>23</v>
      </c>
      <c r="L130" t="str">
        <f t="shared" si="2"/>
        <v>Feb-2025</v>
      </c>
      <c r="M130" s="11" t="str">
        <f t="shared" si="3"/>
        <v>Feb-2025-week4</v>
      </c>
    </row>
    <row r="131" spans="1:13" x14ac:dyDescent="0.25">
      <c r="A131" s="2" t="s">
        <v>183</v>
      </c>
      <c r="B131" s="3">
        <v>45698</v>
      </c>
      <c r="C131" s="2" t="s">
        <v>33</v>
      </c>
      <c r="D131" s="2" t="s">
        <v>20</v>
      </c>
      <c r="E131" s="4">
        <v>150</v>
      </c>
      <c r="F131" s="2">
        <v>5</v>
      </c>
      <c r="G131" s="6">
        <v>750</v>
      </c>
      <c r="H131" t="s">
        <v>51</v>
      </c>
      <c r="I131" t="s">
        <v>46</v>
      </c>
      <c r="J131" t="s">
        <v>39</v>
      </c>
      <c r="K131" t="s">
        <v>40</v>
      </c>
      <c r="L131" t="str">
        <f t="shared" ref="L131:L194" si="4">TEXT(B131,"MMM-YYYY")</f>
        <v>Feb-2025</v>
      </c>
      <c r="M131" s="11" t="str">
        <f t="shared" ref="M131:M194" si="5">TEXT(B131,"mmm-yyyy")&amp;"-week"&amp;INT((DAY(B131)-1)/7)+1</f>
        <v>Feb-2025-week2</v>
      </c>
    </row>
    <row r="132" spans="1:13" x14ac:dyDescent="0.25">
      <c r="A132" s="2" t="s">
        <v>184</v>
      </c>
      <c r="B132" s="3">
        <v>45714</v>
      </c>
      <c r="C132" s="2" t="s">
        <v>53</v>
      </c>
      <c r="D132" s="2" t="s">
        <v>36</v>
      </c>
      <c r="E132" s="4">
        <v>40</v>
      </c>
      <c r="F132" s="2">
        <v>2</v>
      </c>
      <c r="G132" s="6">
        <v>80</v>
      </c>
      <c r="H132" t="s">
        <v>57</v>
      </c>
      <c r="I132" t="s">
        <v>81</v>
      </c>
      <c r="J132" t="s">
        <v>31</v>
      </c>
      <c r="K132" t="s">
        <v>23</v>
      </c>
      <c r="L132" t="str">
        <f t="shared" si="4"/>
        <v>Feb-2025</v>
      </c>
      <c r="M132" s="11" t="str">
        <f t="shared" si="5"/>
        <v>Feb-2025-week4</v>
      </c>
    </row>
    <row r="133" spans="1:13" x14ac:dyDescent="0.25">
      <c r="A133" s="2" t="s">
        <v>185</v>
      </c>
      <c r="B133" s="3">
        <v>45723</v>
      </c>
      <c r="C133" s="2" t="s">
        <v>42</v>
      </c>
      <c r="D133" s="2" t="s">
        <v>20</v>
      </c>
      <c r="E133" s="4">
        <v>500</v>
      </c>
      <c r="F133" s="2">
        <v>2</v>
      </c>
      <c r="G133" s="6">
        <v>1000</v>
      </c>
      <c r="H133" t="s">
        <v>29</v>
      </c>
      <c r="I133" t="s">
        <v>81</v>
      </c>
      <c r="J133" t="s">
        <v>16</v>
      </c>
      <c r="K133" t="s">
        <v>23</v>
      </c>
      <c r="L133" t="str">
        <f t="shared" si="4"/>
        <v>Mar-2025</v>
      </c>
      <c r="M133" s="11" t="str">
        <f t="shared" si="5"/>
        <v>Mar-2025-week1</v>
      </c>
    </row>
    <row r="134" spans="1:13" x14ac:dyDescent="0.25">
      <c r="A134" s="2" t="s">
        <v>186</v>
      </c>
      <c r="B134" s="3">
        <v>45711</v>
      </c>
      <c r="C134" s="2" t="s">
        <v>56</v>
      </c>
      <c r="D134" s="2" t="s">
        <v>20</v>
      </c>
      <c r="E134" s="4">
        <v>800</v>
      </c>
      <c r="F134" s="2">
        <v>1</v>
      </c>
      <c r="G134" s="6">
        <v>800</v>
      </c>
      <c r="H134" t="s">
        <v>21</v>
      </c>
      <c r="I134" t="s">
        <v>15</v>
      </c>
      <c r="J134" t="s">
        <v>27</v>
      </c>
      <c r="K134" t="s">
        <v>23</v>
      </c>
      <c r="L134" t="str">
        <f t="shared" si="4"/>
        <v>Feb-2025</v>
      </c>
      <c r="M134" s="11" t="str">
        <f t="shared" si="5"/>
        <v>Feb-2025-week4</v>
      </c>
    </row>
    <row r="135" spans="1:13" x14ac:dyDescent="0.25">
      <c r="A135" s="2" t="s">
        <v>187</v>
      </c>
      <c r="B135" s="3">
        <v>45695</v>
      </c>
      <c r="C135" s="2" t="s">
        <v>42</v>
      </c>
      <c r="D135" s="2" t="s">
        <v>20</v>
      </c>
      <c r="E135" s="4">
        <v>500</v>
      </c>
      <c r="F135" s="2">
        <v>5</v>
      </c>
      <c r="G135" s="6">
        <v>2500</v>
      </c>
      <c r="H135" t="s">
        <v>51</v>
      </c>
      <c r="I135" t="s">
        <v>81</v>
      </c>
      <c r="J135" t="s">
        <v>58</v>
      </c>
      <c r="K135" t="s">
        <v>23</v>
      </c>
      <c r="L135" t="str">
        <f t="shared" si="4"/>
        <v>Feb-2025</v>
      </c>
      <c r="M135" s="11" t="str">
        <f t="shared" si="5"/>
        <v>Feb-2025-week1</v>
      </c>
    </row>
    <row r="136" spans="1:13" x14ac:dyDescent="0.25">
      <c r="A136" s="2" t="s">
        <v>188</v>
      </c>
      <c r="B136" s="3">
        <v>45698</v>
      </c>
      <c r="C136" s="2" t="s">
        <v>35</v>
      </c>
      <c r="D136" s="2" t="s">
        <v>36</v>
      </c>
      <c r="E136" s="4">
        <v>20</v>
      </c>
      <c r="F136" s="2">
        <v>1</v>
      </c>
      <c r="G136" s="6">
        <v>20</v>
      </c>
      <c r="H136" t="s">
        <v>29</v>
      </c>
      <c r="I136" t="s">
        <v>44</v>
      </c>
      <c r="J136" t="s">
        <v>31</v>
      </c>
      <c r="K136" t="s">
        <v>23</v>
      </c>
      <c r="L136" t="str">
        <f t="shared" si="4"/>
        <v>Feb-2025</v>
      </c>
      <c r="M136" s="11" t="str">
        <f t="shared" si="5"/>
        <v>Feb-2025-week2</v>
      </c>
    </row>
    <row r="137" spans="1:13" x14ac:dyDescent="0.25">
      <c r="A137" s="2" t="s">
        <v>189</v>
      </c>
      <c r="B137" s="3">
        <v>45699</v>
      </c>
      <c r="C137" s="2" t="s">
        <v>65</v>
      </c>
      <c r="D137" s="2" t="s">
        <v>61</v>
      </c>
      <c r="E137" s="4">
        <v>1200</v>
      </c>
      <c r="F137" s="2">
        <v>2</v>
      </c>
      <c r="G137" s="6">
        <v>2400</v>
      </c>
      <c r="H137" t="s">
        <v>57</v>
      </c>
      <c r="I137" t="s">
        <v>22</v>
      </c>
      <c r="J137" t="s">
        <v>39</v>
      </c>
      <c r="K137" t="s">
        <v>17</v>
      </c>
      <c r="L137" t="str">
        <f t="shared" si="4"/>
        <v>Feb-2025</v>
      </c>
      <c r="M137" s="11" t="str">
        <f t="shared" si="5"/>
        <v>Feb-2025-week2</v>
      </c>
    </row>
    <row r="138" spans="1:13" x14ac:dyDescent="0.25">
      <c r="A138" s="2" t="s">
        <v>190</v>
      </c>
      <c r="B138" s="3">
        <v>45736</v>
      </c>
      <c r="C138" s="2" t="s">
        <v>33</v>
      </c>
      <c r="D138" s="2" t="s">
        <v>20</v>
      </c>
      <c r="E138" s="4">
        <v>150</v>
      </c>
      <c r="F138" s="2">
        <v>3</v>
      </c>
      <c r="G138" s="6">
        <v>450</v>
      </c>
      <c r="H138" t="s">
        <v>43</v>
      </c>
      <c r="I138" t="s">
        <v>22</v>
      </c>
      <c r="J138" t="s">
        <v>16</v>
      </c>
      <c r="K138" t="s">
        <v>40</v>
      </c>
      <c r="L138" t="str">
        <f t="shared" si="4"/>
        <v>Mar-2025</v>
      </c>
      <c r="M138" s="11" t="str">
        <f t="shared" si="5"/>
        <v>Mar-2025-week3</v>
      </c>
    </row>
    <row r="139" spans="1:13" x14ac:dyDescent="0.25">
      <c r="A139" s="2" t="s">
        <v>191</v>
      </c>
      <c r="B139" s="3">
        <v>45699</v>
      </c>
      <c r="C139" s="2" t="s">
        <v>33</v>
      </c>
      <c r="D139" s="2" t="s">
        <v>20</v>
      </c>
      <c r="E139" s="4">
        <v>150</v>
      </c>
      <c r="F139" s="2">
        <v>5</v>
      </c>
      <c r="G139" s="6">
        <v>750</v>
      </c>
      <c r="H139" t="s">
        <v>25</v>
      </c>
      <c r="I139" t="s">
        <v>68</v>
      </c>
      <c r="J139" t="s">
        <v>31</v>
      </c>
      <c r="K139" t="s">
        <v>17</v>
      </c>
      <c r="L139" t="str">
        <f t="shared" si="4"/>
        <v>Feb-2025</v>
      </c>
      <c r="M139" s="11" t="str">
        <f t="shared" si="5"/>
        <v>Feb-2025-week2</v>
      </c>
    </row>
    <row r="140" spans="1:13" x14ac:dyDescent="0.25">
      <c r="A140" s="2" t="s">
        <v>192</v>
      </c>
      <c r="B140" s="3">
        <v>45734</v>
      </c>
      <c r="C140" s="2" t="s">
        <v>56</v>
      </c>
      <c r="D140" s="2" t="s">
        <v>20</v>
      </c>
      <c r="E140" s="4">
        <v>800</v>
      </c>
      <c r="F140" s="2">
        <v>2</v>
      </c>
      <c r="G140" s="6">
        <v>1600</v>
      </c>
      <c r="H140" t="s">
        <v>54</v>
      </c>
      <c r="I140" t="s">
        <v>26</v>
      </c>
      <c r="J140" t="s">
        <v>39</v>
      </c>
      <c r="K140" t="s">
        <v>17</v>
      </c>
      <c r="L140" t="str">
        <f t="shared" si="4"/>
        <v>Mar-2025</v>
      </c>
      <c r="M140" s="11" t="str">
        <f t="shared" si="5"/>
        <v>Mar-2025-week3</v>
      </c>
    </row>
    <row r="141" spans="1:13" x14ac:dyDescent="0.25">
      <c r="A141" s="2" t="s">
        <v>193</v>
      </c>
      <c r="B141" s="3">
        <v>45735</v>
      </c>
      <c r="C141" s="2" t="s">
        <v>33</v>
      </c>
      <c r="D141" s="2" t="s">
        <v>20</v>
      </c>
      <c r="E141" s="4">
        <v>150</v>
      </c>
      <c r="F141" s="2">
        <v>2</v>
      </c>
      <c r="G141" s="6">
        <v>300</v>
      </c>
      <c r="H141" t="s">
        <v>29</v>
      </c>
      <c r="I141" t="s">
        <v>44</v>
      </c>
      <c r="J141" t="s">
        <v>16</v>
      </c>
      <c r="K141" t="s">
        <v>40</v>
      </c>
      <c r="L141" t="str">
        <f t="shared" si="4"/>
        <v>Mar-2025</v>
      </c>
      <c r="M141" s="11" t="str">
        <f t="shared" si="5"/>
        <v>Mar-2025-week3</v>
      </c>
    </row>
    <row r="142" spans="1:13" x14ac:dyDescent="0.25">
      <c r="A142" s="2" t="s">
        <v>194</v>
      </c>
      <c r="B142" s="3">
        <v>45737</v>
      </c>
      <c r="C142" s="2" t="s">
        <v>42</v>
      </c>
      <c r="D142" s="2" t="s">
        <v>20</v>
      </c>
      <c r="E142" s="4">
        <v>500</v>
      </c>
      <c r="F142" s="2">
        <v>2</v>
      </c>
      <c r="G142" s="6">
        <v>1000</v>
      </c>
      <c r="H142" t="s">
        <v>25</v>
      </c>
      <c r="I142" t="s">
        <v>44</v>
      </c>
      <c r="J142" t="s">
        <v>39</v>
      </c>
      <c r="K142" t="s">
        <v>40</v>
      </c>
      <c r="L142" t="str">
        <f t="shared" si="4"/>
        <v>Mar-2025</v>
      </c>
      <c r="M142" s="11" t="str">
        <f t="shared" si="5"/>
        <v>Mar-2025-week3</v>
      </c>
    </row>
    <row r="143" spans="1:13" x14ac:dyDescent="0.25">
      <c r="A143" s="2" t="s">
        <v>195</v>
      </c>
      <c r="B143" s="3">
        <v>45731</v>
      </c>
      <c r="C143" s="2" t="s">
        <v>42</v>
      </c>
      <c r="D143" s="2" t="s">
        <v>20</v>
      </c>
      <c r="E143" s="4">
        <v>500</v>
      </c>
      <c r="F143" s="2">
        <v>3</v>
      </c>
      <c r="G143" s="6">
        <v>1500</v>
      </c>
      <c r="H143" t="s">
        <v>43</v>
      </c>
      <c r="I143" t="s">
        <v>44</v>
      </c>
      <c r="J143" t="s">
        <v>58</v>
      </c>
      <c r="K143" t="s">
        <v>40</v>
      </c>
      <c r="L143" t="str">
        <f t="shared" si="4"/>
        <v>Mar-2025</v>
      </c>
      <c r="M143" s="11" t="str">
        <f t="shared" si="5"/>
        <v>Mar-2025-week3</v>
      </c>
    </row>
    <row r="144" spans="1:13" x14ac:dyDescent="0.25">
      <c r="A144" s="2" t="s">
        <v>196</v>
      </c>
      <c r="B144" s="3">
        <v>45747</v>
      </c>
      <c r="C144" s="2" t="s">
        <v>65</v>
      </c>
      <c r="D144" s="2" t="s">
        <v>61</v>
      </c>
      <c r="E144" s="4">
        <v>1200</v>
      </c>
      <c r="F144" s="2">
        <v>2</v>
      </c>
      <c r="G144" s="6">
        <v>2400</v>
      </c>
      <c r="H144" t="s">
        <v>80</v>
      </c>
      <c r="I144" t="s">
        <v>30</v>
      </c>
      <c r="J144" t="s">
        <v>39</v>
      </c>
      <c r="K144" t="s">
        <v>17</v>
      </c>
      <c r="L144" t="str">
        <f t="shared" si="4"/>
        <v>Mar-2025</v>
      </c>
      <c r="M144" s="11" t="str">
        <f t="shared" si="5"/>
        <v>Mar-2025-week5</v>
      </c>
    </row>
    <row r="145" spans="1:13" x14ac:dyDescent="0.25">
      <c r="A145" s="2" t="s">
        <v>197</v>
      </c>
      <c r="B145" s="3">
        <v>45715</v>
      </c>
      <c r="C145" s="2" t="s">
        <v>53</v>
      </c>
      <c r="D145" s="2" t="s">
        <v>36</v>
      </c>
      <c r="E145" s="4">
        <v>40</v>
      </c>
      <c r="F145" s="2">
        <v>2</v>
      </c>
      <c r="G145" s="6">
        <v>80</v>
      </c>
      <c r="H145" t="s">
        <v>54</v>
      </c>
      <c r="I145" t="s">
        <v>68</v>
      </c>
      <c r="J145" t="s">
        <v>58</v>
      </c>
      <c r="K145" t="s">
        <v>17</v>
      </c>
      <c r="L145" t="str">
        <f t="shared" si="4"/>
        <v>Feb-2025</v>
      </c>
      <c r="M145" s="11" t="str">
        <f t="shared" si="5"/>
        <v>Feb-2025-week4</v>
      </c>
    </row>
    <row r="146" spans="1:13" x14ac:dyDescent="0.25">
      <c r="A146" s="2" t="s">
        <v>198</v>
      </c>
      <c r="B146" s="3">
        <v>45724</v>
      </c>
      <c r="C146" s="2" t="s">
        <v>33</v>
      </c>
      <c r="D146" s="2" t="s">
        <v>20</v>
      </c>
      <c r="E146" s="4">
        <v>150</v>
      </c>
      <c r="F146" s="2">
        <v>2</v>
      </c>
      <c r="G146" s="6">
        <v>300</v>
      </c>
      <c r="H146" t="s">
        <v>54</v>
      </c>
      <c r="I146" t="s">
        <v>63</v>
      </c>
      <c r="J146" t="s">
        <v>16</v>
      </c>
      <c r="K146" t="s">
        <v>17</v>
      </c>
      <c r="L146" t="str">
        <f t="shared" si="4"/>
        <v>Mar-2025</v>
      </c>
      <c r="M146" s="11" t="str">
        <f t="shared" si="5"/>
        <v>Mar-2025-week2</v>
      </c>
    </row>
    <row r="147" spans="1:13" x14ac:dyDescent="0.25">
      <c r="A147" s="2" t="s">
        <v>199</v>
      </c>
      <c r="B147" s="3">
        <v>45741</v>
      </c>
      <c r="C147" s="2" t="s">
        <v>33</v>
      </c>
      <c r="D147" s="2" t="s">
        <v>20</v>
      </c>
      <c r="E147" s="4">
        <v>150</v>
      </c>
      <c r="F147" s="2">
        <v>2</v>
      </c>
      <c r="G147" s="6">
        <v>300</v>
      </c>
      <c r="H147" t="s">
        <v>14</v>
      </c>
      <c r="I147" t="s">
        <v>46</v>
      </c>
      <c r="J147" t="s">
        <v>16</v>
      </c>
      <c r="K147" t="s">
        <v>40</v>
      </c>
      <c r="L147" t="str">
        <f t="shared" si="4"/>
        <v>Mar-2025</v>
      </c>
      <c r="M147" s="11" t="str">
        <f t="shared" si="5"/>
        <v>Mar-2025-week4</v>
      </c>
    </row>
    <row r="148" spans="1:13" x14ac:dyDescent="0.25">
      <c r="A148" s="2" t="s">
        <v>200</v>
      </c>
      <c r="B148" s="3">
        <v>45693</v>
      </c>
      <c r="C148" s="2" t="s">
        <v>12</v>
      </c>
      <c r="D148" s="2" t="s">
        <v>13</v>
      </c>
      <c r="E148" s="4">
        <v>60</v>
      </c>
      <c r="F148" s="2">
        <v>5</v>
      </c>
      <c r="G148" s="6">
        <v>300</v>
      </c>
      <c r="H148" t="s">
        <v>80</v>
      </c>
      <c r="I148" t="s">
        <v>30</v>
      </c>
      <c r="J148" t="s">
        <v>39</v>
      </c>
      <c r="K148" t="s">
        <v>23</v>
      </c>
      <c r="L148" t="str">
        <f t="shared" si="4"/>
        <v>Feb-2025</v>
      </c>
      <c r="M148" s="11" t="str">
        <f t="shared" si="5"/>
        <v>Feb-2025-week1</v>
      </c>
    </row>
    <row r="149" spans="1:13" x14ac:dyDescent="0.25">
      <c r="A149" s="2" t="s">
        <v>201</v>
      </c>
      <c r="B149" s="3">
        <v>45694</v>
      </c>
      <c r="C149" s="2" t="s">
        <v>19</v>
      </c>
      <c r="D149" s="2" t="s">
        <v>20</v>
      </c>
      <c r="E149" s="4">
        <v>100</v>
      </c>
      <c r="F149" s="2">
        <v>4</v>
      </c>
      <c r="G149" s="6">
        <v>400</v>
      </c>
      <c r="H149" t="s">
        <v>21</v>
      </c>
      <c r="I149" t="s">
        <v>68</v>
      </c>
      <c r="J149" t="s">
        <v>27</v>
      </c>
      <c r="K149" t="s">
        <v>17</v>
      </c>
      <c r="L149" t="str">
        <f t="shared" si="4"/>
        <v>Feb-2025</v>
      </c>
      <c r="M149" s="11" t="str">
        <f t="shared" si="5"/>
        <v>Feb-2025-week1</v>
      </c>
    </row>
    <row r="150" spans="1:13" x14ac:dyDescent="0.25">
      <c r="A150" s="2" t="s">
        <v>202</v>
      </c>
      <c r="B150" s="3">
        <v>45736</v>
      </c>
      <c r="C150" s="2" t="s">
        <v>12</v>
      </c>
      <c r="D150" s="2" t="s">
        <v>13</v>
      </c>
      <c r="E150" s="4">
        <v>60</v>
      </c>
      <c r="F150" s="2">
        <v>3</v>
      </c>
      <c r="G150" s="6">
        <v>180</v>
      </c>
      <c r="H150" t="s">
        <v>54</v>
      </c>
      <c r="I150" t="s">
        <v>15</v>
      </c>
      <c r="J150" t="s">
        <v>58</v>
      </c>
      <c r="K150" t="s">
        <v>23</v>
      </c>
      <c r="L150" t="str">
        <f t="shared" si="4"/>
        <v>Mar-2025</v>
      </c>
      <c r="M150" s="11" t="str">
        <f t="shared" si="5"/>
        <v>Mar-2025-week3</v>
      </c>
    </row>
    <row r="151" spans="1:13" x14ac:dyDescent="0.25">
      <c r="A151" s="2" t="s">
        <v>203</v>
      </c>
      <c r="B151" s="3">
        <v>45696</v>
      </c>
      <c r="C151" s="2" t="s">
        <v>49</v>
      </c>
      <c r="D151" s="2" t="s">
        <v>50</v>
      </c>
      <c r="E151" s="4">
        <v>15</v>
      </c>
      <c r="F151" s="2">
        <v>4</v>
      </c>
      <c r="G151" s="6">
        <v>60</v>
      </c>
      <c r="H151" t="s">
        <v>57</v>
      </c>
      <c r="I151" t="s">
        <v>81</v>
      </c>
      <c r="J151" t="s">
        <v>58</v>
      </c>
      <c r="K151" t="s">
        <v>17</v>
      </c>
      <c r="L151" t="str">
        <f t="shared" si="4"/>
        <v>Feb-2025</v>
      </c>
      <c r="M151" s="11" t="str">
        <f t="shared" si="5"/>
        <v>Feb-2025-week2</v>
      </c>
    </row>
    <row r="152" spans="1:13" x14ac:dyDescent="0.25">
      <c r="A152" s="2" t="s">
        <v>204</v>
      </c>
      <c r="B152" s="3">
        <v>45745</v>
      </c>
      <c r="C152" s="2" t="s">
        <v>60</v>
      </c>
      <c r="D152" s="2" t="s">
        <v>61</v>
      </c>
      <c r="E152" s="4">
        <v>600</v>
      </c>
      <c r="F152" s="2">
        <v>4</v>
      </c>
      <c r="G152" s="6">
        <v>2400</v>
      </c>
      <c r="H152" t="s">
        <v>80</v>
      </c>
      <c r="I152" t="s">
        <v>68</v>
      </c>
      <c r="J152" t="s">
        <v>27</v>
      </c>
      <c r="K152" t="s">
        <v>23</v>
      </c>
      <c r="L152" t="str">
        <f t="shared" si="4"/>
        <v>Mar-2025</v>
      </c>
      <c r="M152" s="11" t="str">
        <f t="shared" si="5"/>
        <v>Mar-2025-week5</v>
      </c>
    </row>
    <row r="153" spans="1:13" x14ac:dyDescent="0.25">
      <c r="A153" s="2" t="s">
        <v>205</v>
      </c>
      <c r="B153" s="3">
        <v>45716</v>
      </c>
      <c r="C153" s="2" t="s">
        <v>33</v>
      </c>
      <c r="D153" s="2" t="s">
        <v>20</v>
      </c>
      <c r="E153" s="4">
        <v>150</v>
      </c>
      <c r="F153" s="2">
        <v>1</v>
      </c>
      <c r="G153" s="6">
        <v>150</v>
      </c>
      <c r="H153" t="s">
        <v>25</v>
      </c>
      <c r="I153" t="s">
        <v>63</v>
      </c>
      <c r="J153" t="s">
        <v>58</v>
      </c>
      <c r="K153" t="s">
        <v>40</v>
      </c>
      <c r="L153" t="str">
        <f t="shared" si="4"/>
        <v>Feb-2025</v>
      </c>
      <c r="M153" s="11" t="str">
        <f t="shared" si="5"/>
        <v>Feb-2025-week4</v>
      </c>
    </row>
    <row r="154" spans="1:13" x14ac:dyDescent="0.25">
      <c r="A154" s="2" t="s">
        <v>206</v>
      </c>
      <c r="B154" s="3">
        <v>45711</v>
      </c>
      <c r="C154" s="2" t="s">
        <v>33</v>
      </c>
      <c r="D154" s="2" t="s">
        <v>20</v>
      </c>
      <c r="E154" s="4">
        <v>150</v>
      </c>
      <c r="F154" s="2">
        <v>5</v>
      </c>
      <c r="G154" s="6">
        <v>750</v>
      </c>
      <c r="H154" t="s">
        <v>43</v>
      </c>
      <c r="I154" t="s">
        <v>22</v>
      </c>
      <c r="J154" t="s">
        <v>39</v>
      </c>
      <c r="K154" t="s">
        <v>23</v>
      </c>
      <c r="L154" t="str">
        <f t="shared" si="4"/>
        <v>Feb-2025</v>
      </c>
      <c r="M154" s="11" t="str">
        <f t="shared" si="5"/>
        <v>Feb-2025-week4</v>
      </c>
    </row>
    <row r="155" spans="1:13" x14ac:dyDescent="0.25">
      <c r="A155" s="2" t="s">
        <v>207</v>
      </c>
      <c r="B155" s="3">
        <v>45717</v>
      </c>
      <c r="C155" s="2" t="s">
        <v>19</v>
      </c>
      <c r="D155" s="2" t="s">
        <v>20</v>
      </c>
      <c r="E155" s="4">
        <v>100</v>
      </c>
      <c r="F155" s="2">
        <v>2</v>
      </c>
      <c r="G155" s="6">
        <v>200</v>
      </c>
      <c r="H155" t="s">
        <v>25</v>
      </c>
      <c r="I155" t="s">
        <v>26</v>
      </c>
      <c r="J155" t="s">
        <v>16</v>
      </c>
      <c r="K155" t="s">
        <v>40</v>
      </c>
      <c r="L155" t="str">
        <f t="shared" si="4"/>
        <v>Mar-2025</v>
      </c>
      <c r="M155" s="11" t="str">
        <f t="shared" si="5"/>
        <v>Mar-2025-week1</v>
      </c>
    </row>
    <row r="156" spans="1:13" x14ac:dyDescent="0.25">
      <c r="A156" s="2" t="s">
        <v>208</v>
      </c>
      <c r="B156" s="3">
        <v>45693</v>
      </c>
      <c r="C156" s="2" t="s">
        <v>65</v>
      </c>
      <c r="D156" s="2" t="s">
        <v>61</v>
      </c>
      <c r="E156" s="4">
        <v>1200</v>
      </c>
      <c r="F156" s="2">
        <v>4</v>
      </c>
      <c r="G156" s="6">
        <v>4800</v>
      </c>
      <c r="H156" t="s">
        <v>43</v>
      </c>
      <c r="I156" t="s">
        <v>63</v>
      </c>
      <c r="J156" t="s">
        <v>31</v>
      </c>
      <c r="K156" t="s">
        <v>23</v>
      </c>
      <c r="L156" t="str">
        <f t="shared" si="4"/>
        <v>Feb-2025</v>
      </c>
      <c r="M156" s="11" t="str">
        <f t="shared" si="5"/>
        <v>Feb-2025-week1</v>
      </c>
    </row>
    <row r="157" spans="1:13" x14ac:dyDescent="0.25">
      <c r="A157" s="2" t="s">
        <v>209</v>
      </c>
      <c r="B157" s="3">
        <v>45732</v>
      </c>
      <c r="C157" s="2" t="s">
        <v>33</v>
      </c>
      <c r="D157" s="2" t="s">
        <v>20</v>
      </c>
      <c r="E157" s="4">
        <v>150</v>
      </c>
      <c r="F157" s="2">
        <v>4</v>
      </c>
      <c r="G157" s="6">
        <v>600</v>
      </c>
      <c r="H157" t="s">
        <v>29</v>
      </c>
      <c r="I157" t="s">
        <v>44</v>
      </c>
      <c r="J157" t="s">
        <v>39</v>
      </c>
      <c r="K157" t="s">
        <v>17</v>
      </c>
      <c r="L157" t="str">
        <f t="shared" si="4"/>
        <v>Mar-2025</v>
      </c>
      <c r="M157" s="11" t="str">
        <f t="shared" si="5"/>
        <v>Mar-2025-week3</v>
      </c>
    </row>
    <row r="158" spans="1:13" x14ac:dyDescent="0.25">
      <c r="A158" s="2" t="s">
        <v>210</v>
      </c>
      <c r="B158" s="3">
        <v>45696</v>
      </c>
      <c r="C158" s="2" t="s">
        <v>42</v>
      </c>
      <c r="D158" s="2" t="s">
        <v>20</v>
      </c>
      <c r="E158" s="4">
        <v>500</v>
      </c>
      <c r="F158" s="2">
        <v>3</v>
      </c>
      <c r="G158" s="6">
        <v>1500</v>
      </c>
      <c r="H158" t="s">
        <v>43</v>
      </c>
      <c r="I158" t="s">
        <v>26</v>
      </c>
      <c r="J158" t="s">
        <v>31</v>
      </c>
      <c r="K158" t="s">
        <v>23</v>
      </c>
      <c r="L158" t="str">
        <f t="shared" si="4"/>
        <v>Feb-2025</v>
      </c>
      <c r="M158" s="11" t="str">
        <f t="shared" si="5"/>
        <v>Feb-2025-week2</v>
      </c>
    </row>
    <row r="159" spans="1:13" x14ac:dyDescent="0.25">
      <c r="A159" s="2" t="s">
        <v>211</v>
      </c>
      <c r="B159" s="3">
        <v>45712</v>
      </c>
      <c r="C159" s="2" t="s">
        <v>56</v>
      </c>
      <c r="D159" s="2" t="s">
        <v>20</v>
      </c>
      <c r="E159" s="4">
        <v>800</v>
      </c>
      <c r="F159" s="2">
        <v>3</v>
      </c>
      <c r="G159" s="6">
        <v>2400</v>
      </c>
      <c r="H159" t="s">
        <v>72</v>
      </c>
      <c r="I159" t="s">
        <v>44</v>
      </c>
      <c r="J159" t="s">
        <v>16</v>
      </c>
      <c r="K159" t="s">
        <v>23</v>
      </c>
      <c r="L159" t="str">
        <f t="shared" si="4"/>
        <v>Feb-2025</v>
      </c>
      <c r="M159" s="11" t="str">
        <f t="shared" si="5"/>
        <v>Feb-2025-week4</v>
      </c>
    </row>
    <row r="160" spans="1:13" x14ac:dyDescent="0.25">
      <c r="A160" s="2" t="s">
        <v>212</v>
      </c>
      <c r="B160" s="3">
        <v>45704</v>
      </c>
      <c r="C160" s="2" t="s">
        <v>35</v>
      </c>
      <c r="D160" s="2" t="s">
        <v>36</v>
      </c>
      <c r="E160" s="4">
        <v>20</v>
      </c>
      <c r="F160" s="2">
        <v>2</v>
      </c>
      <c r="G160" s="6">
        <v>40</v>
      </c>
      <c r="H160" t="s">
        <v>51</v>
      </c>
      <c r="I160" t="s">
        <v>30</v>
      </c>
      <c r="J160" t="s">
        <v>58</v>
      </c>
      <c r="K160" t="s">
        <v>17</v>
      </c>
      <c r="L160" t="str">
        <f t="shared" si="4"/>
        <v>Feb-2025</v>
      </c>
      <c r="M160" s="11" t="str">
        <f t="shared" si="5"/>
        <v>Feb-2025-week3</v>
      </c>
    </row>
    <row r="161" spans="1:13" x14ac:dyDescent="0.25">
      <c r="A161" s="2" t="s">
        <v>213</v>
      </c>
      <c r="B161" s="3">
        <v>45694</v>
      </c>
      <c r="C161" s="2" t="s">
        <v>60</v>
      </c>
      <c r="D161" s="2" t="s">
        <v>61</v>
      </c>
      <c r="E161" s="4">
        <v>600</v>
      </c>
      <c r="F161" s="2">
        <v>3</v>
      </c>
      <c r="G161" s="6">
        <v>1800</v>
      </c>
      <c r="H161" t="s">
        <v>29</v>
      </c>
      <c r="I161" t="s">
        <v>26</v>
      </c>
      <c r="J161" t="s">
        <v>58</v>
      </c>
      <c r="K161" t="s">
        <v>17</v>
      </c>
      <c r="L161" t="str">
        <f t="shared" si="4"/>
        <v>Feb-2025</v>
      </c>
      <c r="M161" s="11" t="str">
        <f t="shared" si="5"/>
        <v>Feb-2025-week1</v>
      </c>
    </row>
    <row r="162" spans="1:13" x14ac:dyDescent="0.25">
      <c r="A162" s="2" t="s">
        <v>214</v>
      </c>
      <c r="B162" s="3">
        <v>45710</v>
      </c>
      <c r="C162" s="2" t="s">
        <v>19</v>
      </c>
      <c r="D162" s="2" t="s">
        <v>20</v>
      </c>
      <c r="E162" s="4">
        <v>100</v>
      </c>
      <c r="F162" s="2">
        <v>1</v>
      </c>
      <c r="G162" s="6">
        <v>100</v>
      </c>
      <c r="H162" t="s">
        <v>21</v>
      </c>
      <c r="I162" t="s">
        <v>68</v>
      </c>
      <c r="J162" t="s">
        <v>31</v>
      </c>
      <c r="K162" t="s">
        <v>40</v>
      </c>
      <c r="L162" t="str">
        <f t="shared" si="4"/>
        <v>Feb-2025</v>
      </c>
      <c r="M162" s="11" t="str">
        <f t="shared" si="5"/>
        <v>Feb-2025-week4</v>
      </c>
    </row>
    <row r="163" spans="1:13" x14ac:dyDescent="0.25">
      <c r="A163" s="2" t="s">
        <v>215</v>
      </c>
      <c r="B163" s="3">
        <v>45697</v>
      </c>
      <c r="C163" s="2" t="s">
        <v>42</v>
      </c>
      <c r="D163" s="2" t="s">
        <v>20</v>
      </c>
      <c r="E163" s="4">
        <v>500</v>
      </c>
      <c r="F163" s="2">
        <v>2</v>
      </c>
      <c r="G163" s="6">
        <v>1000</v>
      </c>
      <c r="H163" t="s">
        <v>29</v>
      </c>
      <c r="I163" t="s">
        <v>81</v>
      </c>
      <c r="J163" t="s">
        <v>31</v>
      </c>
      <c r="K163" t="s">
        <v>40</v>
      </c>
      <c r="L163" t="str">
        <f t="shared" si="4"/>
        <v>Feb-2025</v>
      </c>
      <c r="M163" s="11" t="str">
        <f t="shared" si="5"/>
        <v>Feb-2025-week2</v>
      </c>
    </row>
    <row r="164" spans="1:13" x14ac:dyDescent="0.25">
      <c r="A164" s="2" t="s">
        <v>216</v>
      </c>
      <c r="B164" s="3">
        <v>45708</v>
      </c>
      <c r="C164" s="2" t="s">
        <v>12</v>
      </c>
      <c r="D164" s="2" t="s">
        <v>13</v>
      </c>
      <c r="E164" s="4">
        <v>60</v>
      </c>
      <c r="F164" s="2">
        <v>2</v>
      </c>
      <c r="G164" s="6">
        <v>120</v>
      </c>
      <c r="H164" t="s">
        <v>72</v>
      </c>
      <c r="I164" t="s">
        <v>38</v>
      </c>
      <c r="J164" t="s">
        <v>39</v>
      </c>
      <c r="K164" t="s">
        <v>40</v>
      </c>
      <c r="L164" t="str">
        <f t="shared" si="4"/>
        <v>Feb-2025</v>
      </c>
      <c r="M164" s="11" t="str">
        <f t="shared" si="5"/>
        <v>Feb-2025-week3</v>
      </c>
    </row>
    <row r="165" spans="1:13" x14ac:dyDescent="0.25">
      <c r="A165" s="2" t="s">
        <v>217</v>
      </c>
      <c r="B165" s="3">
        <v>45713</v>
      </c>
      <c r="C165" s="2" t="s">
        <v>33</v>
      </c>
      <c r="D165" s="2" t="s">
        <v>20</v>
      </c>
      <c r="E165" s="4">
        <v>150</v>
      </c>
      <c r="F165" s="2">
        <v>5</v>
      </c>
      <c r="G165" s="6">
        <v>750</v>
      </c>
      <c r="H165" t="s">
        <v>54</v>
      </c>
      <c r="I165" t="s">
        <v>46</v>
      </c>
      <c r="J165" t="s">
        <v>16</v>
      </c>
      <c r="K165" t="s">
        <v>23</v>
      </c>
      <c r="L165" t="str">
        <f t="shared" si="4"/>
        <v>Feb-2025</v>
      </c>
      <c r="M165" s="11" t="str">
        <f t="shared" si="5"/>
        <v>Feb-2025-week4</v>
      </c>
    </row>
    <row r="166" spans="1:13" x14ac:dyDescent="0.25">
      <c r="A166" s="2" t="s">
        <v>218</v>
      </c>
      <c r="B166" s="3">
        <v>45730</v>
      </c>
      <c r="C166" s="2" t="s">
        <v>49</v>
      </c>
      <c r="D166" s="2" t="s">
        <v>50</v>
      </c>
      <c r="E166" s="4">
        <v>15</v>
      </c>
      <c r="F166" s="2">
        <v>1</v>
      </c>
      <c r="G166" s="6">
        <v>15</v>
      </c>
      <c r="H166" t="s">
        <v>51</v>
      </c>
      <c r="I166" t="s">
        <v>15</v>
      </c>
      <c r="J166" t="s">
        <v>27</v>
      </c>
      <c r="K166" t="s">
        <v>23</v>
      </c>
      <c r="L166" t="str">
        <f t="shared" si="4"/>
        <v>Mar-2025</v>
      </c>
      <c r="M166" s="11" t="str">
        <f t="shared" si="5"/>
        <v>Mar-2025-week2</v>
      </c>
    </row>
    <row r="167" spans="1:13" x14ac:dyDescent="0.25">
      <c r="A167" s="2" t="s">
        <v>219</v>
      </c>
      <c r="B167" s="3">
        <v>45746</v>
      </c>
      <c r="C167" s="2" t="s">
        <v>60</v>
      </c>
      <c r="D167" s="2" t="s">
        <v>61</v>
      </c>
      <c r="E167" s="4">
        <v>600</v>
      </c>
      <c r="F167" s="2">
        <v>4</v>
      </c>
      <c r="G167" s="6">
        <v>2400</v>
      </c>
      <c r="H167" t="s">
        <v>72</v>
      </c>
      <c r="I167" t="s">
        <v>38</v>
      </c>
      <c r="J167" t="s">
        <v>31</v>
      </c>
      <c r="K167" t="s">
        <v>23</v>
      </c>
      <c r="L167" t="str">
        <f t="shared" si="4"/>
        <v>Mar-2025</v>
      </c>
      <c r="M167" s="11" t="str">
        <f t="shared" si="5"/>
        <v>Mar-2025-week5</v>
      </c>
    </row>
    <row r="168" spans="1:13" x14ac:dyDescent="0.25">
      <c r="A168" s="2" t="s">
        <v>220</v>
      </c>
      <c r="B168" s="3">
        <v>45736</v>
      </c>
      <c r="C168" s="2" t="s">
        <v>65</v>
      </c>
      <c r="D168" s="2" t="s">
        <v>61</v>
      </c>
      <c r="E168" s="4">
        <v>1200</v>
      </c>
      <c r="F168" s="2">
        <v>2</v>
      </c>
      <c r="G168" s="6">
        <v>2400</v>
      </c>
      <c r="H168" t="s">
        <v>29</v>
      </c>
      <c r="I168" t="s">
        <v>63</v>
      </c>
      <c r="J168" t="s">
        <v>31</v>
      </c>
      <c r="K168" t="s">
        <v>40</v>
      </c>
      <c r="L168" t="str">
        <f t="shared" si="4"/>
        <v>Mar-2025</v>
      </c>
      <c r="M168" s="11" t="str">
        <f t="shared" si="5"/>
        <v>Mar-2025-week3</v>
      </c>
    </row>
    <row r="169" spans="1:13" x14ac:dyDescent="0.25">
      <c r="A169" s="2" t="s">
        <v>221</v>
      </c>
      <c r="B169" s="3">
        <v>45740</v>
      </c>
      <c r="C169" s="2" t="s">
        <v>56</v>
      </c>
      <c r="D169" s="2" t="s">
        <v>20</v>
      </c>
      <c r="E169" s="4">
        <v>800</v>
      </c>
      <c r="F169" s="2">
        <v>5</v>
      </c>
      <c r="G169" s="6">
        <v>4000</v>
      </c>
      <c r="H169" t="s">
        <v>54</v>
      </c>
      <c r="I169" t="s">
        <v>44</v>
      </c>
      <c r="J169" t="s">
        <v>16</v>
      </c>
      <c r="K169" t="s">
        <v>23</v>
      </c>
      <c r="L169" t="str">
        <f t="shared" si="4"/>
        <v>Mar-2025</v>
      </c>
      <c r="M169" s="11" t="str">
        <f t="shared" si="5"/>
        <v>Mar-2025-week4</v>
      </c>
    </row>
    <row r="170" spans="1:13" x14ac:dyDescent="0.25">
      <c r="A170" s="2" t="s">
        <v>222</v>
      </c>
      <c r="B170" s="3">
        <v>45722</v>
      </c>
      <c r="C170" s="2" t="s">
        <v>65</v>
      </c>
      <c r="D170" s="2" t="s">
        <v>61</v>
      </c>
      <c r="E170" s="4">
        <v>1200</v>
      </c>
      <c r="F170" s="2">
        <v>2</v>
      </c>
      <c r="G170" s="6">
        <v>2400</v>
      </c>
      <c r="H170" t="s">
        <v>25</v>
      </c>
      <c r="I170" t="s">
        <v>26</v>
      </c>
      <c r="J170" t="s">
        <v>39</v>
      </c>
      <c r="K170" t="s">
        <v>40</v>
      </c>
      <c r="L170" t="str">
        <f t="shared" si="4"/>
        <v>Mar-2025</v>
      </c>
      <c r="M170" s="11" t="str">
        <f t="shared" si="5"/>
        <v>Mar-2025-week1</v>
      </c>
    </row>
    <row r="171" spans="1:13" x14ac:dyDescent="0.25">
      <c r="A171" s="2" t="s">
        <v>223</v>
      </c>
      <c r="B171" s="3">
        <v>45716</v>
      </c>
      <c r="C171" s="2" t="s">
        <v>56</v>
      </c>
      <c r="D171" s="2" t="s">
        <v>20</v>
      </c>
      <c r="E171" s="4">
        <v>800</v>
      </c>
      <c r="F171" s="2">
        <v>1</v>
      </c>
      <c r="G171" s="6">
        <v>800</v>
      </c>
      <c r="H171" t="s">
        <v>14</v>
      </c>
      <c r="I171" t="s">
        <v>22</v>
      </c>
      <c r="J171" t="s">
        <v>58</v>
      </c>
      <c r="K171" t="s">
        <v>23</v>
      </c>
      <c r="L171" t="str">
        <f t="shared" si="4"/>
        <v>Feb-2025</v>
      </c>
      <c r="M171" s="11" t="str">
        <f t="shared" si="5"/>
        <v>Feb-2025-week4</v>
      </c>
    </row>
    <row r="172" spans="1:13" x14ac:dyDescent="0.25">
      <c r="A172" s="2" t="s">
        <v>224</v>
      </c>
      <c r="B172" s="3">
        <v>45716</v>
      </c>
      <c r="C172" s="2" t="s">
        <v>33</v>
      </c>
      <c r="D172" s="2" t="s">
        <v>20</v>
      </c>
      <c r="E172" s="4">
        <v>150</v>
      </c>
      <c r="F172" s="2">
        <v>2</v>
      </c>
      <c r="G172" s="6">
        <v>300</v>
      </c>
      <c r="H172" t="s">
        <v>57</v>
      </c>
      <c r="I172" t="s">
        <v>38</v>
      </c>
      <c r="J172" t="s">
        <v>39</v>
      </c>
      <c r="K172" t="s">
        <v>40</v>
      </c>
      <c r="L172" t="str">
        <f t="shared" si="4"/>
        <v>Feb-2025</v>
      </c>
      <c r="M172" s="11" t="str">
        <f t="shared" si="5"/>
        <v>Feb-2025-week4</v>
      </c>
    </row>
    <row r="173" spans="1:13" x14ac:dyDescent="0.25">
      <c r="A173" s="2" t="s">
        <v>225</v>
      </c>
      <c r="B173" s="3">
        <v>45728</v>
      </c>
      <c r="C173" s="2" t="s">
        <v>49</v>
      </c>
      <c r="D173" s="2" t="s">
        <v>50</v>
      </c>
      <c r="E173" s="4">
        <v>15</v>
      </c>
      <c r="F173" s="2">
        <v>1</v>
      </c>
      <c r="G173" s="6">
        <v>15</v>
      </c>
      <c r="H173" t="s">
        <v>51</v>
      </c>
      <c r="I173" t="s">
        <v>44</v>
      </c>
      <c r="J173" t="s">
        <v>16</v>
      </c>
      <c r="K173" t="s">
        <v>17</v>
      </c>
      <c r="L173" t="str">
        <f t="shared" si="4"/>
        <v>Mar-2025</v>
      </c>
      <c r="M173" s="11" t="str">
        <f t="shared" si="5"/>
        <v>Mar-2025-week2</v>
      </c>
    </row>
    <row r="174" spans="1:13" x14ac:dyDescent="0.25">
      <c r="A174" s="2" t="s">
        <v>226</v>
      </c>
      <c r="B174" s="3">
        <v>45716</v>
      </c>
      <c r="C174" s="2" t="s">
        <v>65</v>
      </c>
      <c r="D174" s="2" t="s">
        <v>61</v>
      </c>
      <c r="E174" s="4">
        <v>1200</v>
      </c>
      <c r="F174" s="2">
        <v>1</v>
      </c>
      <c r="G174" s="6">
        <v>1200</v>
      </c>
      <c r="H174" t="s">
        <v>29</v>
      </c>
      <c r="I174" t="s">
        <v>63</v>
      </c>
      <c r="J174" t="s">
        <v>39</v>
      </c>
      <c r="K174" t="s">
        <v>40</v>
      </c>
      <c r="L174" t="str">
        <f t="shared" si="4"/>
        <v>Feb-2025</v>
      </c>
      <c r="M174" s="11" t="str">
        <f t="shared" si="5"/>
        <v>Feb-2025-week4</v>
      </c>
    </row>
    <row r="175" spans="1:13" x14ac:dyDescent="0.25">
      <c r="A175" s="2" t="s">
        <v>227</v>
      </c>
      <c r="B175" s="3">
        <v>45729</v>
      </c>
      <c r="C175" s="2" t="s">
        <v>33</v>
      </c>
      <c r="D175" s="2" t="s">
        <v>20</v>
      </c>
      <c r="E175" s="4">
        <v>150</v>
      </c>
      <c r="F175" s="2">
        <v>2</v>
      </c>
      <c r="G175" s="6">
        <v>300</v>
      </c>
      <c r="H175" t="s">
        <v>51</v>
      </c>
      <c r="I175" t="s">
        <v>81</v>
      </c>
      <c r="J175" t="s">
        <v>16</v>
      </c>
      <c r="K175" t="s">
        <v>23</v>
      </c>
      <c r="L175" t="str">
        <f t="shared" si="4"/>
        <v>Mar-2025</v>
      </c>
      <c r="M175" s="11" t="str">
        <f t="shared" si="5"/>
        <v>Mar-2025-week2</v>
      </c>
    </row>
    <row r="176" spans="1:13" x14ac:dyDescent="0.25">
      <c r="A176" s="2" t="s">
        <v>228</v>
      </c>
      <c r="B176" s="3">
        <v>45740</v>
      </c>
      <c r="C176" s="2" t="s">
        <v>53</v>
      </c>
      <c r="D176" s="2" t="s">
        <v>36</v>
      </c>
      <c r="E176" s="4">
        <v>40</v>
      </c>
      <c r="F176" s="2">
        <v>5</v>
      </c>
      <c r="G176" s="6">
        <v>200</v>
      </c>
      <c r="H176" t="s">
        <v>51</v>
      </c>
      <c r="I176" t="s">
        <v>15</v>
      </c>
      <c r="J176" t="s">
        <v>16</v>
      </c>
      <c r="K176" t="s">
        <v>17</v>
      </c>
      <c r="L176" t="str">
        <f t="shared" si="4"/>
        <v>Mar-2025</v>
      </c>
      <c r="M176" s="11" t="str">
        <f t="shared" si="5"/>
        <v>Mar-2025-week4</v>
      </c>
    </row>
    <row r="177" spans="1:13" x14ac:dyDescent="0.25">
      <c r="A177" s="2" t="s">
        <v>229</v>
      </c>
      <c r="B177" s="3">
        <v>45743</v>
      </c>
      <c r="C177" s="2" t="s">
        <v>49</v>
      </c>
      <c r="D177" s="2" t="s">
        <v>50</v>
      </c>
      <c r="E177" s="4">
        <v>15</v>
      </c>
      <c r="F177" s="2">
        <v>1</v>
      </c>
      <c r="G177" s="6">
        <v>15</v>
      </c>
      <c r="H177" t="s">
        <v>54</v>
      </c>
      <c r="I177" t="s">
        <v>46</v>
      </c>
      <c r="J177" t="s">
        <v>27</v>
      </c>
      <c r="K177" t="s">
        <v>40</v>
      </c>
      <c r="L177" t="str">
        <f t="shared" si="4"/>
        <v>Mar-2025</v>
      </c>
      <c r="M177" s="11" t="str">
        <f t="shared" si="5"/>
        <v>Mar-2025-week4</v>
      </c>
    </row>
    <row r="178" spans="1:13" x14ac:dyDescent="0.25">
      <c r="A178" s="2" t="s">
        <v>230</v>
      </c>
      <c r="B178" s="3">
        <v>45730</v>
      </c>
      <c r="C178" s="2" t="s">
        <v>49</v>
      </c>
      <c r="D178" s="2" t="s">
        <v>50</v>
      </c>
      <c r="E178" s="4">
        <v>15</v>
      </c>
      <c r="F178" s="2">
        <v>5</v>
      </c>
      <c r="G178" s="6">
        <v>75</v>
      </c>
      <c r="H178" t="s">
        <v>51</v>
      </c>
      <c r="I178" t="s">
        <v>22</v>
      </c>
      <c r="J178" t="s">
        <v>31</v>
      </c>
      <c r="K178" t="s">
        <v>23</v>
      </c>
      <c r="L178" t="str">
        <f t="shared" si="4"/>
        <v>Mar-2025</v>
      </c>
      <c r="M178" s="11" t="str">
        <f t="shared" si="5"/>
        <v>Mar-2025-week2</v>
      </c>
    </row>
    <row r="179" spans="1:13" x14ac:dyDescent="0.25">
      <c r="A179" s="2" t="s">
        <v>231</v>
      </c>
      <c r="B179" s="3">
        <v>45694</v>
      </c>
      <c r="C179" s="2" t="s">
        <v>42</v>
      </c>
      <c r="D179" s="2" t="s">
        <v>20</v>
      </c>
      <c r="E179" s="4">
        <v>500</v>
      </c>
      <c r="F179" s="2">
        <v>3</v>
      </c>
      <c r="G179" s="6">
        <v>1500</v>
      </c>
      <c r="H179" t="s">
        <v>21</v>
      </c>
      <c r="I179" t="s">
        <v>81</v>
      </c>
      <c r="J179" t="s">
        <v>39</v>
      </c>
      <c r="K179" t="s">
        <v>40</v>
      </c>
      <c r="L179" t="str">
        <f t="shared" si="4"/>
        <v>Feb-2025</v>
      </c>
      <c r="M179" s="11" t="str">
        <f t="shared" si="5"/>
        <v>Feb-2025-week1</v>
      </c>
    </row>
    <row r="180" spans="1:13" x14ac:dyDescent="0.25">
      <c r="A180" s="2" t="s">
        <v>232</v>
      </c>
      <c r="B180" s="3">
        <v>45741</v>
      </c>
      <c r="C180" s="2" t="s">
        <v>53</v>
      </c>
      <c r="D180" s="2" t="s">
        <v>36</v>
      </c>
      <c r="E180" s="4">
        <v>40</v>
      </c>
      <c r="F180" s="2">
        <v>1</v>
      </c>
      <c r="G180" s="6">
        <v>40</v>
      </c>
      <c r="H180" t="s">
        <v>29</v>
      </c>
      <c r="I180" t="s">
        <v>63</v>
      </c>
      <c r="J180" t="s">
        <v>39</v>
      </c>
      <c r="K180" t="s">
        <v>17</v>
      </c>
      <c r="L180" t="str">
        <f t="shared" si="4"/>
        <v>Mar-2025</v>
      </c>
      <c r="M180" s="11" t="str">
        <f t="shared" si="5"/>
        <v>Mar-2025-week4</v>
      </c>
    </row>
    <row r="181" spans="1:13" x14ac:dyDescent="0.25">
      <c r="A181" s="2" t="s">
        <v>233</v>
      </c>
      <c r="B181" s="3">
        <v>45720</v>
      </c>
      <c r="C181" s="2" t="s">
        <v>65</v>
      </c>
      <c r="D181" s="2" t="s">
        <v>61</v>
      </c>
      <c r="E181" s="4">
        <v>1200</v>
      </c>
      <c r="F181" s="2">
        <v>3</v>
      </c>
      <c r="G181" s="6">
        <v>3600</v>
      </c>
      <c r="H181" t="s">
        <v>51</v>
      </c>
      <c r="I181" t="s">
        <v>46</v>
      </c>
      <c r="J181" t="s">
        <v>58</v>
      </c>
      <c r="K181" t="s">
        <v>40</v>
      </c>
      <c r="L181" t="str">
        <f t="shared" si="4"/>
        <v>Mar-2025</v>
      </c>
      <c r="M181" s="11" t="str">
        <f t="shared" si="5"/>
        <v>Mar-2025-week1</v>
      </c>
    </row>
    <row r="182" spans="1:13" x14ac:dyDescent="0.25">
      <c r="A182" s="2" t="s">
        <v>234</v>
      </c>
      <c r="B182" s="3">
        <v>45719</v>
      </c>
      <c r="C182" s="2" t="s">
        <v>12</v>
      </c>
      <c r="D182" s="2" t="s">
        <v>13</v>
      </c>
      <c r="E182" s="4">
        <v>60</v>
      </c>
      <c r="F182" s="2">
        <v>2</v>
      </c>
      <c r="G182" s="6">
        <v>120</v>
      </c>
      <c r="H182" t="s">
        <v>51</v>
      </c>
      <c r="I182" t="s">
        <v>68</v>
      </c>
      <c r="J182" t="s">
        <v>16</v>
      </c>
      <c r="K182" t="s">
        <v>17</v>
      </c>
      <c r="L182" t="str">
        <f t="shared" si="4"/>
        <v>Mar-2025</v>
      </c>
      <c r="M182" s="11" t="str">
        <f t="shared" si="5"/>
        <v>Mar-2025-week1</v>
      </c>
    </row>
    <row r="183" spans="1:13" x14ac:dyDescent="0.25">
      <c r="A183" s="2" t="s">
        <v>235</v>
      </c>
      <c r="B183" s="3">
        <v>45749</v>
      </c>
      <c r="C183" s="2" t="s">
        <v>35</v>
      </c>
      <c r="D183" s="2" t="s">
        <v>36</v>
      </c>
      <c r="E183" s="4">
        <v>20</v>
      </c>
      <c r="F183" s="2">
        <v>5</v>
      </c>
      <c r="G183" s="6">
        <v>100</v>
      </c>
      <c r="H183" t="s">
        <v>14</v>
      </c>
      <c r="I183" t="s">
        <v>26</v>
      </c>
      <c r="J183" t="s">
        <v>39</v>
      </c>
      <c r="K183" t="s">
        <v>40</v>
      </c>
      <c r="L183" t="str">
        <f t="shared" si="4"/>
        <v>Apr-2025</v>
      </c>
      <c r="M183" s="11" t="str">
        <f t="shared" si="5"/>
        <v>Apr-2025-week1</v>
      </c>
    </row>
    <row r="184" spans="1:13" x14ac:dyDescent="0.25">
      <c r="A184" s="2" t="s">
        <v>236</v>
      </c>
      <c r="B184" s="3">
        <v>45741</v>
      </c>
      <c r="C184" s="2" t="s">
        <v>60</v>
      </c>
      <c r="D184" s="2" t="s">
        <v>61</v>
      </c>
      <c r="E184" s="4">
        <v>600</v>
      </c>
      <c r="F184" s="2">
        <v>1</v>
      </c>
      <c r="G184" s="6">
        <v>600</v>
      </c>
      <c r="H184" t="s">
        <v>14</v>
      </c>
      <c r="I184" t="s">
        <v>63</v>
      </c>
      <c r="J184" t="s">
        <v>16</v>
      </c>
      <c r="K184" t="s">
        <v>23</v>
      </c>
      <c r="L184" t="str">
        <f t="shared" si="4"/>
        <v>Mar-2025</v>
      </c>
      <c r="M184" s="11" t="str">
        <f t="shared" si="5"/>
        <v>Mar-2025-week4</v>
      </c>
    </row>
    <row r="185" spans="1:13" x14ac:dyDescent="0.25">
      <c r="A185" s="2" t="s">
        <v>237</v>
      </c>
      <c r="B185" s="3">
        <v>45705</v>
      </c>
      <c r="C185" s="2" t="s">
        <v>49</v>
      </c>
      <c r="D185" s="2" t="s">
        <v>50</v>
      </c>
      <c r="E185" s="4">
        <v>15</v>
      </c>
      <c r="F185" s="2">
        <v>5</v>
      </c>
      <c r="G185" s="6">
        <v>75</v>
      </c>
      <c r="H185" t="s">
        <v>57</v>
      </c>
      <c r="I185" t="s">
        <v>44</v>
      </c>
      <c r="J185" t="s">
        <v>16</v>
      </c>
      <c r="K185" t="s">
        <v>23</v>
      </c>
      <c r="L185" t="str">
        <f t="shared" si="4"/>
        <v>Feb-2025</v>
      </c>
      <c r="M185" s="11" t="str">
        <f t="shared" si="5"/>
        <v>Feb-2025-week3</v>
      </c>
    </row>
    <row r="186" spans="1:13" x14ac:dyDescent="0.25">
      <c r="A186" s="2" t="s">
        <v>238</v>
      </c>
      <c r="B186" s="3">
        <v>45738</v>
      </c>
      <c r="C186" s="2" t="s">
        <v>35</v>
      </c>
      <c r="D186" s="2" t="s">
        <v>36</v>
      </c>
      <c r="E186" s="4">
        <v>20</v>
      </c>
      <c r="F186" s="2">
        <v>1</v>
      </c>
      <c r="G186" s="6">
        <v>20</v>
      </c>
      <c r="H186" t="s">
        <v>72</v>
      </c>
      <c r="I186" t="s">
        <v>30</v>
      </c>
      <c r="J186" t="s">
        <v>16</v>
      </c>
      <c r="K186" t="s">
        <v>40</v>
      </c>
      <c r="L186" t="str">
        <f t="shared" si="4"/>
        <v>Mar-2025</v>
      </c>
      <c r="M186" s="11" t="str">
        <f t="shared" si="5"/>
        <v>Mar-2025-week4</v>
      </c>
    </row>
    <row r="187" spans="1:13" x14ac:dyDescent="0.25">
      <c r="A187" s="2" t="s">
        <v>239</v>
      </c>
      <c r="B187" s="3">
        <v>45718</v>
      </c>
      <c r="C187" s="2" t="s">
        <v>60</v>
      </c>
      <c r="D187" s="2" t="s">
        <v>61</v>
      </c>
      <c r="E187" s="4">
        <v>600</v>
      </c>
      <c r="F187" s="2">
        <v>4</v>
      </c>
      <c r="G187" s="6">
        <v>2400</v>
      </c>
      <c r="H187" t="s">
        <v>54</v>
      </c>
      <c r="I187" t="s">
        <v>15</v>
      </c>
      <c r="J187" t="s">
        <v>39</v>
      </c>
      <c r="K187" t="s">
        <v>40</v>
      </c>
      <c r="L187" t="str">
        <f t="shared" si="4"/>
        <v>Mar-2025</v>
      </c>
      <c r="M187" s="11" t="str">
        <f t="shared" si="5"/>
        <v>Mar-2025-week1</v>
      </c>
    </row>
    <row r="188" spans="1:13" x14ac:dyDescent="0.25">
      <c r="A188" s="2" t="s">
        <v>240</v>
      </c>
      <c r="B188" s="3">
        <v>45729</v>
      </c>
      <c r="C188" s="2" t="s">
        <v>56</v>
      </c>
      <c r="D188" s="2" t="s">
        <v>20</v>
      </c>
      <c r="E188" s="4">
        <v>800</v>
      </c>
      <c r="F188" s="2">
        <v>3</v>
      </c>
      <c r="G188" s="6">
        <v>2400</v>
      </c>
      <c r="H188" t="s">
        <v>25</v>
      </c>
      <c r="I188" t="s">
        <v>15</v>
      </c>
      <c r="J188" t="s">
        <v>39</v>
      </c>
      <c r="K188" t="s">
        <v>23</v>
      </c>
      <c r="L188" t="str">
        <f t="shared" si="4"/>
        <v>Mar-2025</v>
      </c>
      <c r="M188" s="11" t="str">
        <f t="shared" si="5"/>
        <v>Mar-2025-week2</v>
      </c>
    </row>
    <row r="189" spans="1:13" x14ac:dyDescent="0.25">
      <c r="A189" s="2" t="s">
        <v>241</v>
      </c>
      <c r="B189" s="3">
        <v>45702</v>
      </c>
      <c r="C189" s="2" t="s">
        <v>49</v>
      </c>
      <c r="D189" s="2" t="s">
        <v>50</v>
      </c>
      <c r="E189" s="4">
        <v>15</v>
      </c>
      <c r="F189" s="2">
        <v>1</v>
      </c>
      <c r="G189" s="6">
        <v>15</v>
      </c>
      <c r="H189" t="s">
        <v>25</v>
      </c>
      <c r="I189" t="s">
        <v>46</v>
      </c>
      <c r="J189" t="s">
        <v>27</v>
      </c>
      <c r="K189" t="s">
        <v>40</v>
      </c>
      <c r="L189" t="str">
        <f t="shared" si="4"/>
        <v>Feb-2025</v>
      </c>
      <c r="M189" s="11" t="str">
        <f t="shared" si="5"/>
        <v>Feb-2025-week2</v>
      </c>
    </row>
    <row r="190" spans="1:13" x14ac:dyDescent="0.25">
      <c r="A190" s="2" t="s">
        <v>242</v>
      </c>
      <c r="B190" s="3">
        <v>45698</v>
      </c>
      <c r="C190" s="2" t="s">
        <v>56</v>
      </c>
      <c r="D190" s="2" t="s">
        <v>20</v>
      </c>
      <c r="E190" s="4">
        <v>800</v>
      </c>
      <c r="F190" s="2">
        <v>3</v>
      </c>
      <c r="G190" s="6">
        <v>2400</v>
      </c>
      <c r="H190" t="s">
        <v>80</v>
      </c>
      <c r="I190" t="s">
        <v>38</v>
      </c>
      <c r="J190" t="s">
        <v>27</v>
      </c>
      <c r="K190" t="s">
        <v>40</v>
      </c>
      <c r="L190" t="str">
        <f t="shared" si="4"/>
        <v>Feb-2025</v>
      </c>
      <c r="M190" s="11" t="str">
        <f t="shared" si="5"/>
        <v>Feb-2025-week2</v>
      </c>
    </row>
    <row r="191" spans="1:13" x14ac:dyDescent="0.25">
      <c r="A191" s="2" t="s">
        <v>243</v>
      </c>
      <c r="B191" s="3">
        <v>45711</v>
      </c>
      <c r="C191" s="2" t="s">
        <v>12</v>
      </c>
      <c r="D191" s="2" t="s">
        <v>13</v>
      </c>
      <c r="E191" s="4">
        <v>60</v>
      </c>
      <c r="F191" s="2">
        <v>1</v>
      </c>
      <c r="G191" s="6">
        <v>60</v>
      </c>
      <c r="H191" t="s">
        <v>43</v>
      </c>
      <c r="I191" t="s">
        <v>38</v>
      </c>
      <c r="J191" t="s">
        <v>39</v>
      </c>
      <c r="K191" t="s">
        <v>40</v>
      </c>
      <c r="L191" t="str">
        <f t="shared" si="4"/>
        <v>Feb-2025</v>
      </c>
      <c r="M191" s="11" t="str">
        <f t="shared" si="5"/>
        <v>Feb-2025-week4</v>
      </c>
    </row>
    <row r="192" spans="1:13" x14ac:dyDescent="0.25">
      <c r="A192" s="2" t="s">
        <v>244</v>
      </c>
      <c r="B192" s="3">
        <v>45716</v>
      </c>
      <c r="C192" s="2" t="s">
        <v>53</v>
      </c>
      <c r="D192" s="2" t="s">
        <v>36</v>
      </c>
      <c r="E192" s="4">
        <v>40</v>
      </c>
      <c r="F192" s="2">
        <v>4</v>
      </c>
      <c r="G192" s="6">
        <v>160</v>
      </c>
      <c r="H192" t="s">
        <v>25</v>
      </c>
      <c r="I192" t="s">
        <v>63</v>
      </c>
      <c r="J192" t="s">
        <v>27</v>
      </c>
      <c r="K192" t="s">
        <v>23</v>
      </c>
      <c r="L192" t="str">
        <f t="shared" si="4"/>
        <v>Feb-2025</v>
      </c>
      <c r="M192" s="11" t="str">
        <f t="shared" si="5"/>
        <v>Feb-2025-week4</v>
      </c>
    </row>
    <row r="193" spans="1:13" x14ac:dyDescent="0.25">
      <c r="A193" s="2" t="s">
        <v>245</v>
      </c>
      <c r="B193" s="3">
        <v>45747</v>
      </c>
      <c r="C193" s="2" t="s">
        <v>19</v>
      </c>
      <c r="D193" s="2" t="s">
        <v>20</v>
      </c>
      <c r="E193" s="4">
        <v>100</v>
      </c>
      <c r="F193" s="2">
        <v>3</v>
      </c>
      <c r="G193" s="6">
        <v>300</v>
      </c>
      <c r="H193" t="s">
        <v>43</v>
      </c>
      <c r="I193" t="s">
        <v>30</v>
      </c>
      <c r="J193" t="s">
        <v>58</v>
      </c>
      <c r="K193" t="s">
        <v>23</v>
      </c>
      <c r="L193" t="str">
        <f t="shared" si="4"/>
        <v>Mar-2025</v>
      </c>
      <c r="M193" s="11" t="str">
        <f t="shared" si="5"/>
        <v>Mar-2025-week5</v>
      </c>
    </row>
    <row r="194" spans="1:13" x14ac:dyDescent="0.25">
      <c r="A194" s="2" t="s">
        <v>246</v>
      </c>
      <c r="B194" s="3">
        <v>45746</v>
      </c>
      <c r="C194" s="2" t="s">
        <v>49</v>
      </c>
      <c r="D194" s="2" t="s">
        <v>50</v>
      </c>
      <c r="E194" s="4">
        <v>15</v>
      </c>
      <c r="F194" s="2">
        <v>5</v>
      </c>
      <c r="G194" s="6">
        <v>75</v>
      </c>
      <c r="H194" t="s">
        <v>51</v>
      </c>
      <c r="I194" t="s">
        <v>81</v>
      </c>
      <c r="J194" t="s">
        <v>27</v>
      </c>
      <c r="K194" t="s">
        <v>23</v>
      </c>
      <c r="L194" t="str">
        <f t="shared" si="4"/>
        <v>Mar-2025</v>
      </c>
      <c r="M194" s="11" t="str">
        <f t="shared" si="5"/>
        <v>Mar-2025-week5</v>
      </c>
    </row>
    <row r="195" spans="1:13" x14ac:dyDescent="0.25">
      <c r="A195" s="2" t="s">
        <v>247</v>
      </c>
      <c r="B195" s="3">
        <v>45708</v>
      </c>
      <c r="C195" s="2" t="s">
        <v>53</v>
      </c>
      <c r="D195" s="2" t="s">
        <v>36</v>
      </c>
      <c r="E195" s="4">
        <v>40</v>
      </c>
      <c r="F195" s="2">
        <v>4</v>
      </c>
      <c r="G195" s="6">
        <v>160</v>
      </c>
      <c r="H195" t="s">
        <v>25</v>
      </c>
      <c r="I195" t="s">
        <v>22</v>
      </c>
      <c r="J195" t="s">
        <v>16</v>
      </c>
      <c r="K195" t="s">
        <v>17</v>
      </c>
      <c r="L195" t="str">
        <f t="shared" ref="L195:L251" si="6">TEXT(B195,"MMM-YYYY")</f>
        <v>Feb-2025</v>
      </c>
      <c r="M195" s="11" t="str">
        <f t="shared" ref="M195:M253" si="7">TEXT(B195,"mmm-yyyy")&amp;"-week"&amp;INT((DAY(B195)-1)/7)+1</f>
        <v>Feb-2025-week3</v>
      </c>
    </row>
    <row r="196" spans="1:13" x14ac:dyDescent="0.25">
      <c r="A196" s="2" t="s">
        <v>248</v>
      </c>
      <c r="B196" s="3">
        <v>45726</v>
      </c>
      <c r="C196" s="2" t="s">
        <v>42</v>
      </c>
      <c r="D196" s="2" t="s">
        <v>20</v>
      </c>
      <c r="E196" s="4">
        <v>500</v>
      </c>
      <c r="F196" s="2">
        <v>3</v>
      </c>
      <c r="G196" s="6">
        <v>1500</v>
      </c>
      <c r="H196" t="s">
        <v>29</v>
      </c>
      <c r="I196" t="s">
        <v>26</v>
      </c>
      <c r="J196" t="s">
        <v>58</v>
      </c>
      <c r="K196" t="s">
        <v>17</v>
      </c>
      <c r="L196" t="str">
        <f t="shared" si="6"/>
        <v>Mar-2025</v>
      </c>
      <c r="M196" s="11" t="str">
        <f t="shared" si="7"/>
        <v>Mar-2025-week2</v>
      </c>
    </row>
    <row r="197" spans="1:13" x14ac:dyDescent="0.25">
      <c r="A197" s="2" t="s">
        <v>249</v>
      </c>
      <c r="B197" s="3">
        <v>45720</v>
      </c>
      <c r="C197" s="2" t="s">
        <v>19</v>
      </c>
      <c r="D197" s="2" t="s">
        <v>20</v>
      </c>
      <c r="E197" s="4">
        <v>100</v>
      </c>
      <c r="F197" s="2">
        <v>5</v>
      </c>
      <c r="G197" s="6">
        <v>500</v>
      </c>
      <c r="H197" t="s">
        <v>57</v>
      </c>
      <c r="I197" t="s">
        <v>63</v>
      </c>
      <c r="J197" t="s">
        <v>16</v>
      </c>
      <c r="K197" t="s">
        <v>23</v>
      </c>
      <c r="L197" t="str">
        <f t="shared" si="6"/>
        <v>Mar-2025</v>
      </c>
      <c r="M197" s="11" t="str">
        <f t="shared" si="7"/>
        <v>Mar-2025-week1</v>
      </c>
    </row>
    <row r="198" spans="1:13" x14ac:dyDescent="0.25">
      <c r="A198" s="2" t="s">
        <v>250</v>
      </c>
      <c r="B198" s="3">
        <v>45728</v>
      </c>
      <c r="C198" s="2" t="s">
        <v>12</v>
      </c>
      <c r="D198" s="2" t="s">
        <v>13</v>
      </c>
      <c r="E198" s="4">
        <v>60</v>
      </c>
      <c r="F198" s="2">
        <v>2</v>
      </c>
      <c r="G198" s="6">
        <v>120</v>
      </c>
      <c r="H198" t="s">
        <v>54</v>
      </c>
      <c r="I198" t="s">
        <v>26</v>
      </c>
      <c r="J198" t="s">
        <v>58</v>
      </c>
      <c r="K198" t="s">
        <v>40</v>
      </c>
      <c r="L198" t="str">
        <f t="shared" si="6"/>
        <v>Mar-2025</v>
      </c>
      <c r="M198" s="11" t="str">
        <f t="shared" si="7"/>
        <v>Mar-2025-week2</v>
      </c>
    </row>
    <row r="199" spans="1:13" x14ac:dyDescent="0.25">
      <c r="A199" s="2" t="s">
        <v>251</v>
      </c>
      <c r="B199" s="3">
        <v>45708</v>
      </c>
      <c r="C199" s="2" t="s">
        <v>56</v>
      </c>
      <c r="D199" s="2" t="s">
        <v>20</v>
      </c>
      <c r="E199" s="4">
        <v>800</v>
      </c>
      <c r="F199" s="2">
        <v>4</v>
      </c>
      <c r="G199" s="6">
        <v>3200</v>
      </c>
      <c r="H199" t="s">
        <v>80</v>
      </c>
      <c r="I199" t="s">
        <v>63</v>
      </c>
      <c r="J199" t="s">
        <v>27</v>
      </c>
      <c r="K199" t="s">
        <v>23</v>
      </c>
      <c r="L199" t="str">
        <f t="shared" si="6"/>
        <v>Feb-2025</v>
      </c>
      <c r="M199" s="11" t="str">
        <f t="shared" si="7"/>
        <v>Feb-2025-week3</v>
      </c>
    </row>
    <row r="200" spans="1:13" x14ac:dyDescent="0.25">
      <c r="A200" s="2" t="s">
        <v>252</v>
      </c>
      <c r="B200" s="3">
        <v>45710</v>
      </c>
      <c r="C200" s="2" t="s">
        <v>42</v>
      </c>
      <c r="D200" s="2" t="s">
        <v>20</v>
      </c>
      <c r="E200" s="4">
        <v>500</v>
      </c>
      <c r="F200" s="2">
        <v>3</v>
      </c>
      <c r="G200" s="6">
        <v>1500</v>
      </c>
      <c r="H200" t="s">
        <v>72</v>
      </c>
      <c r="I200" t="s">
        <v>30</v>
      </c>
      <c r="J200" t="s">
        <v>31</v>
      </c>
      <c r="K200" t="s">
        <v>40</v>
      </c>
      <c r="L200" t="str">
        <f t="shared" si="6"/>
        <v>Feb-2025</v>
      </c>
      <c r="M200" s="11" t="str">
        <f t="shared" si="7"/>
        <v>Feb-2025-week4</v>
      </c>
    </row>
    <row r="201" spans="1:13" x14ac:dyDescent="0.25">
      <c r="A201" s="2" t="s">
        <v>253</v>
      </c>
      <c r="B201" s="3">
        <v>45698</v>
      </c>
      <c r="C201" s="2" t="s">
        <v>49</v>
      </c>
      <c r="D201" s="2" t="s">
        <v>50</v>
      </c>
      <c r="E201" s="4">
        <v>15</v>
      </c>
      <c r="F201" s="2">
        <v>2</v>
      </c>
      <c r="G201" s="6">
        <v>30</v>
      </c>
      <c r="H201" t="s">
        <v>72</v>
      </c>
      <c r="I201" t="s">
        <v>68</v>
      </c>
      <c r="J201" t="s">
        <v>16</v>
      </c>
      <c r="K201" t="s">
        <v>40</v>
      </c>
      <c r="L201" t="str">
        <f t="shared" si="6"/>
        <v>Feb-2025</v>
      </c>
      <c r="M201" s="11" t="str">
        <f t="shared" si="7"/>
        <v>Feb-2025-week2</v>
      </c>
    </row>
    <row r="202" spans="1:13" x14ac:dyDescent="0.25">
      <c r="A202" s="2" t="s">
        <v>254</v>
      </c>
      <c r="B202" s="3">
        <v>45691</v>
      </c>
      <c r="C202" s="2" t="s">
        <v>49</v>
      </c>
      <c r="D202" s="2" t="s">
        <v>50</v>
      </c>
      <c r="E202" s="4">
        <v>15</v>
      </c>
      <c r="F202" s="2">
        <v>4</v>
      </c>
      <c r="G202" s="6">
        <v>60</v>
      </c>
      <c r="H202" t="s">
        <v>54</v>
      </c>
      <c r="I202" t="s">
        <v>22</v>
      </c>
      <c r="J202" t="s">
        <v>31</v>
      </c>
      <c r="K202" t="s">
        <v>40</v>
      </c>
      <c r="L202" t="str">
        <f t="shared" si="6"/>
        <v>Feb-2025</v>
      </c>
      <c r="M202" s="11" t="str">
        <f t="shared" si="7"/>
        <v>Feb-2025-week1</v>
      </c>
    </row>
    <row r="203" spans="1:13" x14ac:dyDescent="0.25">
      <c r="A203" s="2" t="s">
        <v>255</v>
      </c>
      <c r="B203" s="3">
        <v>45709</v>
      </c>
      <c r="C203" s="2" t="s">
        <v>42</v>
      </c>
      <c r="D203" s="2" t="s">
        <v>20</v>
      </c>
      <c r="E203" s="4">
        <v>500</v>
      </c>
      <c r="F203" s="2">
        <v>2</v>
      </c>
      <c r="G203" s="6">
        <v>1000</v>
      </c>
      <c r="H203" t="s">
        <v>57</v>
      </c>
      <c r="I203" t="s">
        <v>44</v>
      </c>
      <c r="J203" t="s">
        <v>31</v>
      </c>
      <c r="K203" t="s">
        <v>17</v>
      </c>
      <c r="L203" t="str">
        <f t="shared" si="6"/>
        <v>Feb-2025</v>
      </c>
      <c r="M203" s="11" t="str">
        <f t="shared" si="7"/>
        <v>Feb-2025-week3</v>
      </c>
    </row>
    <row r="204" spans="1:13" x14ac:dyDescent="0.25">
      <c r="A204" s="2" t="s">
        <v>256</v>
      </c>
      <c r="B204" s="3">
        <v>45709</v>
      </c>
      <c r="C204" s="2" t="s">
        <v>65</v>
      </c>
      <c r="D204" s="2" t="s">
        <v>61</v>
      </c>
      <c r="E204" s="4">
        <v>1200</v>
      </c>
      <c r="F204" s="2">
        <v>3</v>
      </c>
      <c r="G204" s="6">
        <v>3600</v>
      </c>
      <c r="H204" t="s">
        <v>25</v>
      </c>
      <c r="I204" t="s">
        <v>30</v>
      </c>
      <c r="J204" t="s">
        <v>16</v>
      </c>
      <c r="K204" t="s">
        <v>40</v>
      </c>
      <c r="L204" t="str">
        <f t="shared" si="6"/>
        <v>Feb-2025</v>
      </c>
      <c r="M204" s="11" t="str">
        <f t="shared" si="7"/>
        <v>Feb-2025-week3</v>
      </c>
    </row>
    <row r="205" spans="1:13" x14ac:dyDescent="0.25">
      <c r="A205" s="2" t="s">
        <v>257</v>
      </c>
      <c r="B205" s="3">
        <v>45724</v>
      </c>
      <c r="C205" s="2" t="s">
        <v>12</v>
      </c>
      <c r="D205" s="2" t="s">
        <v>13</v>
      </c>
      <c r="E205" s="4">
        <v>60</v>
      </c>
      <c r="F205" s="2">
        <v>5</v>
      </c>
      <c r="G205" s="6">
        <v>300</v>
      </c>
      <c r="H205" t="s">
        <v>80</v>
      </c>
      <c r="I205" t="s">
        <v>44</v>
      </c>
      <c r="J205" t="s">
        <v>58</v>
      </c>
      <c r="K205" t="s">
        <v>23</v>
      </c>
      <c r="L205" t="str">
        <f t="shared" si="6"/>
        <v>Mar-2025</v>
      </c>
      <c r="M205" s="11" t="str">
        <f t="shared" si="7"/>
        <v>Mar-2025-week2</v>
      </c>
    </row>
    <row r="206" spans="1:13" x14ac:dyDescent="0.25">
      <c r="A206" s="2" t="s">
        <v>258</v>
      </c>
      <c r="B206" s="3">
        <v>45715</v>
      </c>
      <c r="C206" s="2" t="s">
        <v>19</v>
      </c>
      <c r="D206" s="2" t="s">
        <v>20</v>
      </c>
      <c r="E206" s="4">
        <v>100</v>
      </c>
      <c r="F206" s="2">
        <v>2</v>
      </c>
      <c r="G206" s="6">
        <v>200</v>
      </c>
      <c r="H206" t="s">
        <v>51</v>
      </c>
      <c r="I206" t="s">
        <v>38</v>
      </c>
      <c r="J206" t="s">
        <v>39</v>
      </c>
      <c r="K206" t="s">
        <v>40</v>
      </c>
      <c r="L206" t="str">
        <f t="shared" si="6"/>
        <v>Feb-2025</v>
      </c>
      <c r="M206" s="11" t="str">
        <f t="shared" si="7"/>
        <v>Feb-2025-week4</v>
      </c>
    </row>
    <row r="207" spans="1:13" x14ac:dyDescent="0.25">
      <c r="A207" s="2" t="s">
        <v>259</v>
      </c>
      <c r="B207" s="3">
        <v>45700</v>
      </c>
      <c r="C207" s="2" t="s">
        <v>60</v>
      </c>
      <c r="D207" s="2" t="s">
        <v>61</v>
      </c>
      <c r="E207" s="4">
        <v>600</v>
      </c>
      <c r="F207" s="2">
        <v>5</v>
      </c>
      <c r="G207" s="6">
        <v>3000</v>
      </c>
      <c r="H207" t="s">
        <v>14</v>
      </c>
      <c r="I207" t="s">
        <v>44</v>
      </c>
      <c r="J207" t="s">
        <v>27</v>
      </c>
      <c r="K207" t="s">
        <v>23</v>
      </c>
      <c r="L207" t="str">
        <f t="shared" si="6"/>
        <v>Feb-2025</v>
      </c>
      <c r="M207" s="11" t="str">
        <f t="shared" si="7"/>
        <v>Feb-2025-week2</v>
      </c>
    </row>
    <row r="208" spans="1:13" x14ac:dyDescent="0.25">
      <c r="A208" s="2" t="s">
        <v>260</v>
      </c>
      <c r="B208" s="3">
        <v>45737</v>
      </c>
      <c r="C208" s="2" t="s">
        <v>60</v>
      </c>
      <c r="D208" s="2" t="s">
        <v>61</v>
      </c>
      <c r="E208" s="4">
        <v>600</v>
      </c>
      <c r="F208" s="2">
        <v>1</v>
      </c>
      <c r="G208" s="6">
        <v>600</v>
      </c>
      <c r="H208" t="s">
        <v>25</v>
      </c>
      <c r="I208" t="s">
        <v>44</v>
      </c>
      <c r="J208" t="s">
        <v>31</v>
      </c>
      <c r="K208" t="s">
        <v>40</v>
      </c>
      <c r="L208" t="str">
        <f t="shared" si="6"/>
        <v>Mar-2025</v>
      </c>
      <c r="M208" s="11" t="str">
        <f t="shared" si="7"/>
        <v>Mar-2025-week3</v>
      </c>
    </row>
    <row r="209" spans="1:13" x14ac:dyDescent="0.25">
      <c r="A209" s="2" t="s">
        <v>261</v>
      </c>
      <c r="B209" s="3">
        <v>45690</v>
      </c>
      <c r="C209" s="2" t="s">
        <v>65</v>
      </c>
      <c r="D209" s="2" t="s">
        <v>61</v>
      </c>
      <c r="E209" s="4">
        <v>1200</v>
      </c>
      <c r="F209" s="2">
        <v>3</v>
      </c>
      <c r="G209" s="6">
        <v>3600</v>
      </c>
      <c r="H209" t="s">
        <v>25</v>
      </c>
      <c r="I209" t="s">
        <v>44</v>
      </c>
      <c r="J209" t="s">
        <v>39</v>
      </c>
      <c r="K209" t="s">
        <v>40</v>
      </c>
      <c r="L209" t="str">
        <f t="shared" si="6"/>
        <v>Feb-2025</v>
      </c>
      <c r="M209" s="11" t="str">
        <f t="shared" si="7"/>
        <v>Feb-2025-week1</v>
      </c>
    </row>
    <row r="210" spans="1:13" x14ac:dyDescent="0.25">
      <c r="A210" s="2" t="s">
        <v>262</v>
      </c>
      <c r="B210" s="3">
        <v>45745</v>
      </c>
      <c r="C210" s="2" t="s">
        <v>53</v>
      </c>
      <c r="D210" s="2" t="s">
        <v>36</v>
      </c>
      <c r="E210" s="4">
        <v>40</v>
      </c>
      <c r="F210" s="2">
        <v>5</v>
      </c>
      <c r="G210" s="6">
        <v>200</v>
      </c>
      <c r="H210" t="s">
        <v>57</v>
      </c>
      <c r="I210" t="s">
        <v>30</v>
      </c>
      <c r="J210" t="s">
        <v>39</v>
      </c>
      <c r="K210" t="s">
        <v>40</v>
      </c>
      <c r="L210" t="str">
        <f t="shared" si="6"/>
        <v>Mar-2025</v>
      </c>
      <c r="M210" s="11" t="str">
        <f t="shared" si="7"/>
        <v>Mar-2025-week5</v>
      </c>
    </row>
    <row r="211" spans="1:13" x14ac:dyDescent="0.25">
      <c r="A211" s="2" t="s">
        <v>263</v>
      </c>
      <c r="B211" s="3">
        <v>45739</v>
      </c>
      <c r="C211" s="2" t="s">
        <v>56</v>
      </c>
      <c r="D211" s="2" t="s">
        <v>20</v>
      </c>
      <c r="E211" s="4">
        <v>800</v>
      </c>
      <c r="F211" s="2">
        <v>3</v>
      </c>
      <c r="G211" s="6">
        <v>2400</v>
      </c>
      <c r="H211" t="s">
        <v>80</v>
      </c>
      <c r="I211" t="s">
        <v>15</v>
      </c>
      <c r="J211" t="s">
        <v>39</v>
      </c>
      <c r="K211" t="s">
        <v>40</v>
      </c>
      <c r="L211" t="str">
        <f t="shared" si="6"/>
        <v>Mar-2025</v>
      </c>
      <c r="M211" s="11" t="str">
        <f t="shared" si="7"/>
        <v>Mar-2025-week4</v>
      </c>
    </row>
    <row r="212" spans="1:13" x14ac:dyDescent="0.25">
      <c r="A212" s="2" t="s">
        <v>264</v>
      </c>
      <c r="B212" s="3">
        <v>45729</v>
      </c>
      <c r="C212" s="2" t="s">
        <v>42</v>
      </c>
      <c r="D212" s="2" t="s">
        <v>20</v>
      </c>
      <c r="E212" s="4">
        <v>500</v>
      </c>
      <c r="F212" s="2">
        <v>1</v>
      </c>
      <c r="G212" s="6">
        <v>500</v>
      </c>
      <c r="H212" t="s">
        <v>51</v>
      </c>
      <c r="I212" t="s">
        <v>44</v>
      </c>
      <c r="J212" t="s">
        <v>58</v>
      </c>
      <c r="K212" t="s">
        <v>23</v>
      </c>
      <c r="L212" t="str">
        <f t="shared" si="6"/>
        <v>Mar-2025</v>
      </c>
      <c r="M212" s="11" t="str">
        <f t="shared" si="7"/>
        <v>Mar-2025-week2</v>
      </c>
    </row>
    <row r="213" spans="1:13" x14ac:dyDescent="0.25">
      <c r="A213" s="2" t="s">
        <v>265</v>
      </c>
      <c r="B213" s="3">
        <v>45725</v>
      </c>
      <c r="C213" s="2" t="s">
        <v>35</v>
      </c>
      <c r="D213" s="2" t="s">
        <v>36</v>
      </c>
      <c r="E213" s="4">
        <v>20</v>
      </c>
      <c r="F213" s="2">
        <v>4</v>
      </c>
      <c r="G213" s="6">
        <v>80</v>
      </c>
      <c r="H213" t="s">
        <v>14</v>
      </c>
      <c r="I213" t="s">
        <v>38</v>
      </c>
      <c r="J213" t="s">
        <v>16</v>
      </c>
      <c r="K213" t="s">
        <v>40</v>
      </c>
      <c r="L213" t="str">
        <f t="shared" si="6"/>
        <v>Mar-2025</v>
      </c>
      <c r="M213" s="11" t="str">
        <f t="shared" si="7"/>
        <v>Mar-2025-week2</v>
      </c>
    </row>
    <row r="214" spans="1:13" x14ac:dyDescent="0.25">
      <c r="A214" s="2" t="s">
        <v>266</v>
      </c>
      <c r="B214" s="3">
        <v>45694</v>
      </c>
      <c r="C214" s="2" t="s">
        <v>56</v>
      </c>
      <c r="D214" s="2" t="s">
        <v>20</v>
      </c>
      <c r="E214" s="4">
        <v>800</v>
      </c>
      <c r="F214" s="2">
        <v>1</v>
      </c>
      <c r="G214" s="6">
        <v>800</v>
      </c>
      <c r="H214" t="s">
        <v>80</v>
      </c>
      <c r="I214" t="s">
        <v>68</v>
      </c>
      <c r="J214" t="s">
        <v>27</v>
      </c>
      <c r="K214" t="s">
        <v>17</v>
      </c>
      <c r="L214" t="str">
        <f t="shared" si="6"/>
        <v>Feb-2025</v>
      </c>
      <c r="M214" s="11" t="str">
        <f t="shared" si="7"/>
        <v>Feb-2025-week1</v>
      </c>
    </row>
    <row r="215" spans="1:13" x14ac:dyDescent="0.25">
      <c r="A215" s="2" t="s">
        <v>267</v>
      </c>
      <c r="B215" s="3">
        <v>45706</v>
      </c>
      <c r="C215" s="2" t="s">
        <v>33</v>
      </c>
      <c r="D215" s="2" t="s">
        <v>20</v>
      </c>
      <c r="E215" s="4">
        <v>150</v>
      </c>
      <c r="F215" s="2">
        <v>5</v>
      </c>
      <c r="G215" s="6">
        <v>750</v>
      </c>
      <c r="H215" t="s">
        <v>21</v>
      </c>
      <c r="I215" t="s">
        <v>38</v>
      </c>
      <c r="J215" t="s">
        <v>16</v>
      </c>
      <c r="K215" t="s">
        <v>40</v>
      </c>
      <c r="L215" t="str">
        <f t="shared" si="6"/>
        <v>Feb-2025</v>
      </c>
      <c r="M215" s="11" t="str">
        <f t="shared" si="7"/>
        <v>Feb-2025-week3</v>
      </c>
    </row>
    <row r="216" spans="1:13" x14ac:dyDescent="0.25">
      <c r="A216" s="2" t="s">
        <v>268</v>
      </c>
      <c r="B216" s="3">
        <v>45723</v>
      </c>
      <c r="C216" s="2" t="s">
        <v>12</v>
      </c>
      <c r="D216" s="2" t="s">
        <v>13</v>
      </c>
      <c r="E216" s="4">
        <v>60</v>
      </c>
      <c r="F216" s="2">
        <v>1</v>
      </c>
      <c r="G216" s="6">
        <v>60</v>
      </c>
      <c r="H216" t="s">
        <v>14</v>
      </c>
      <c r="I216" t="s">
        <v>38</v>
      </c>
      <c r="J216" t="s">
        <v>39</v>
      </c>
      <c r="K216" t="s">
        <v>40</v>
      </c>
      <c r="L216" t="str">
        <f t="shared" si="6"/>
        <v>Mar-2025</v>
      </c>
      <c r="M216" s="11" t="str">
        <f t="shared" si="7"/>
        <v>Mar-2025-week1</v>
      </c>
    </row>
    <row r="217" spans="1:13" x14ac:dyDescent="0.25">
      <c r="A217" s="2" t="s">
        <v>269</v>
      </c>
      <c r="B217" s="3">
        <v>45742</v>
      </c>
      <c r="C217" s="2" t="s">
        <v>53</v>
      </c>
      <c r="D217" s="2" t="s">
        <v>36</v>
      </c>
      <c r="E217" s="4">
        <v>40</v>
      </c>
      <c r="F217" s="2">
        <v>2</v>
      </c>
      <c r="G217" s="6">
        <v>80</v>
      </c>
      <c r="H217" t="s">
        <v>72</v>
      </c>
      <c r="I217" t="s">
        <v>81</v>
      </c>
      <c r="J217" t="s">
        <v>31</v>
      </c>
      <c r="K217" t="s">
        <v>40</v>
      </c>
      <c r="L217" t="str">
        <f t="shared" si="6"/>
        <v>Mar-2025</v>
      </c>
      <c r="M217" s="11" t="str">
        <f t="shared" si="7"/>
        <v>Mar-2025-week4</v>
      </c>
    </row>
    <row r="218" spans="1:13" x14ac:dyDescent="0.25">
      <c r="A218" s="2" t="s">
        <v>270</v>
      </c>
      <c r="B218" s="3">
        <v>45735</v>
      </c>
      <c r="C218" s="2" t="s">
        <v>12</v>
      </c>
      <c r="D218" s="2" t="s">
        <v>13</v>
      </c>
      <c r="E218" s="4">
        <v>60</v>
      </c>
      <c r="F218" s="2">
        <v>2</v>
      </c>
      <c r="G218" s="6">
        <v>120</v>
      </c>
      <c r="H218" t="s">
        <v>14</v>
      </c>
      <c r="I218" t="s">
        <v>46</v>
      </c>
      <c r="J218" t="s">
        <v>58</v>
      </c>
      <c r="K218" t="s">
        <v>23</v>
      </c>
      <c r="L218" t="str">
        <f t="shared" si="6"/>
        <v>Mar-2025</v>
      </c>
      <c r="M218" s="11" t="str">
        <f t="shared" si="7"/>
        <v>Mar-2025-week3</v>
      </c>
    </row>
    <row r="219" spans="1:13" x14ac:dyDescent="0.25">
      <c r="A219" s="2" t="s">
        <v>271</v>
      </c>
      <c r="B219" s="3">
        <v>45703</v>
      </c>
      <c r="C219" s="2" t="s">
        <v>19</v>
      </c>
      <c r="D219" s="2" t="s">
        <v>20</v>
      </c>
      <c r="E219" s="4">
        <v>100</v>
      </c>
      <c r="F219" s="2">
        <v>4</v>
      </c>
      <c r="G219" s="6">
        <v>400</v>
      </c>
      <c r="H219" t="s">
        <v>57</v>
      </c>
      <c r="I219" t="s">
        <v>15</v>
      </c>
      <c r="J219" t="s">
        <v>58</v>
      </c>
      <c r="K219" t="s">
        <v>17</v>
      </c>
      <c r="L219" t="str">
        <f t="shared" si="6"/>
        <v>Feb-2025</v>
      </c>
      <c r="M219" s="11" t="str">
        <f t="shared" si="7"/>
        <v>Feb-2025-week3</v>
      </c>
    </row>
    <row r="220" spans="1:13" x14ac:dyDescent="0.25">
      <c r="A220" s="2" t="s">
        <v>272</v>
      </c>
      <c r="B220" s="3">
        <v>45705</v>
      </c>
      <c r="C220" s="2" t="s">
        <v>19</v>
      </c>
      <c r="D220" s="2" t="s">
        <v>20</v>
      </c>
      <c r="E220" s="4">
        <v>100</v>
      </c>
      <c r="F220" s="2">
        <v>3</v>
      </c>
      <c r="G220" s="6">
        <v>300</v>
      </c>
      <c r="H220" t="s">
        <v>51</v>
      </c>
      <c r="I220" t="s">
        <v>38</v>
      </c>
      <c r="J220" t="s">
        <v>39</v>
      </c>
      <c r="K220" t="s">
        <v>17</v>
      </c>
      <c r="L220" t="str">
        <f t="shared" si="6"/>
        <v>Feb-2025</v>
      </c>
      <c r="M220" s="11" t="str">
        <f t="shared" si="7"/>
        <v>Feb-2025-week3</v>
      </c>
    </row>
    <row r="221" spans="1:13" x14ac:dyDescent="0.25">
      <c r="A221" s="2" t="s">
        <v>273</v>
      </c>
      <c r="B221" s="3">
        <v>45698</v>
      </c>
      <c r="C221" s="2" t="s">
        <v>33</v>
      </c>
      <c r="D221" s="2" t="s">
        <v>20</v>
      </c>
      <c r="E221" s="4">
        <v>150</v>
      </c>
      <c r="F221" s="2">
        <v>3</v>
      </c>
      <c r="G221" s="6">
        <v>450</v>
      </c>
      <c r="H221" t="s">
        <v>54</v>
      </c>
      <c r="I221" t="s">
        <v>26</v>
      </c>
      <c r="J221" t="s">
        <v>16</v>
      </c>
      <c r="K221" t="s">
        <v>40</v>
      </c>
      <c r="L221" t="str">
        <f t="shared" si="6"/>
        <v>Feb-2025</v>
      </c>
      <c r="M221" s="11" t="str">
        <f t="shared" si="7"/>
        <v>Feb-2025-week2</v>
      </c>
    </row>
    <row r="222" spans="1:13" x14ac:dyDescent="0.25">
      <c r="A222" s="2" t="s">
        <v>274</v>
      </c>
      <c r="B222" s="3">
        <v>45716</v>
      </c>
      <c r="C222" s="2" t="s">
        <v>60</v>
      </c>
      <c r="D222" s="2" t="s">
        <v>61</v>
      </c>
      <c r="E222" s="4">
        <v>600</v>
      </c>
      <c r="F222" s="2">
        <v>2</v>
      </c>
      <c r="G222" s="6">
        <v>1200</v>
      </c>
      <c r="H222" t="s">
        <v>21</v>
      </c>
      <c r="I222" t="s">
        <v>81</v>
      </c>
      <c r="J222" t="s">
        <v>58</v>
      </c>
      <c r="K222" t="s">
        <v>17</v>
      </c>
      <c r="L222" t="str">
        <f t="shared" si="6"/>
        <v>Feb-2025</v>
      </c>
      <c r="M222" s="11" t="str">
        <f t="shared" si="7"/>
        <v>Feb-2025-week4</v>
      </c>
    </row>
    <row r="223" spans="1:13" x14ac:dyDescent="0.25">
      <c r="A223" s="2" t="s">
        <v>275</v>
      </c>
      <c r="B223" s="3">
        <v>45704</v>
      </c>
      <c r="C223" s="2" t="s">
        <v>60</v>
      </c>
      <c r="D223" s="2" t="s">
        <v>61</v>
      </c>
      <c r="E223" s="4">
        <v>600</v>
      </c>
      <c r="F223" s="2">
        <v>2</v>
      </c>
      <c r="G223" s="6">
        <v>1200</v>
      </c>
      <c r="H223" t="s">
        <v>72</v>
      </c>
      <c r="I223" t="s">
        <v>63</v>
      </c>
      <c r="J223" t="s">
        <v>39</v>
      </c>
      <c r="K223" t="s">
        <v>17</v>
      </c>
      <c r="L223" t="str">
        <f t="shared" si="6"/>
        <v>Feb-2025</v>
      </c>
      <c r="M223" s="11" t="str">
        <f t="shared" si="7"/>
        <v>Feb-2025-week3</v>
      </c>
    </row>
    <row r="224" spans="1:13" x14ac:dyDescent="0.25">
      <c r="A224" s="2" t="s">
        <v>276</v>
      </c>
      <c r="B224" s="3">
        <v>45740</v>
      </c>
      <c r="C224" s="2" t="s">
        <v>53</v>
      </c>
      <c r="D224" s="2" t="s">
        <v>36</v>
      </c>
      <c r="E224" s="4">
        <v>40</v>
      </c>
      <c r="F224" s="2">
        <v>2</v>
      </c>
      <c r="G224" s="6">
        <v>80</v>
      </c>
      <c r="H224" t="s">
        <v>51</v>
      </c>
      <c r="I224" t="s">
        <v>26</v>
      </c>
      <c r="J224" t="s">
        <v>27</v>
      </c>
      <c r="K224" t="s">
        <v>17</v>
      </c>
      <c r="L224" t="str">
        <f t="shared" si="6"/>
        <v>Mar-2025</v>
      </c>
      <c r="M224" s="11" t="str">
        <f t="shared" si="7"/>
        <v>Mar-2025-week4</v>
      </c>
    </row>
    <row r="225" spans="1:13" x14ac:dyDescent="0.25">
      <c r="A225" s="2" t="s">
        <v>277</v>
      </c>
      <c r="B225" s="3">
        <v>45734</v>
      </c>
      <c r="C225" s="2" t="s">
        <v>65</v>
      </c>
      <c r="D225" s="2" t="s">
        <v>61</v>
      </c>
      <c r="E225" s="4">
        <v>1200</v>
      </c>
      <c r="F225" s="2">
        <v>1</v>
      </c>
      <c r="G225" s="6">
        <v>1200</v>
      </c>
      <c r="H225" t="s">
        <v>80</v>
      </c>
      <c r="I225" t="s">
        <v>44</v>
      </c>
      <c r="J225" t="s">
        <v>39</v>
      </c>
      <c r="K225" t="s">
        <v>40</v>
      </c>
      <c r="L225" t="str">
        <f t="shared" si="6"/>
        <v>Mar-2025</v>
      </c>
      <c r="M225" s="11" t="str">
        <f t="shared" si="7"/>
        <v>Mar-2025-week3</v>
      </c>
    </row>
    <row r="226" spans="1:13" x14ac:dyDescent="0.25">
      <c r="A226" s="2" t="s">
        <v>278</v>
      </c>
      <c r="B226" s="3">
        <v>45727</v>
      </c>
      <c r="C226" s="2" t="s">
        <v>53</v>
      </c>
      <c r="D226" s="2" t="s">
        <v>36</v>
      </c>
      <c r="E226" s="4">
        <v>40</v>
      </c>
      <c r="F226" s="2">
        <v>1</v>
      </c>
      <c r="G226" s="6">
        <v>40</v>
      </c>
      <c r="H226" t="s">
        <v>43</v>
      </c>
      <c r="I226" t="s">
        <v>15</v>
      </c>
      <c r="J226" t="s">
        <v>58</v>
      </c>
      <c r="K226" t="s">
        <v>17</v>
      </c>
      <c r="L226" t="str">
        <f t="shared" si="6"/>
        <v>Mar-2025</v>
      </c>
      <c r="M226" s="11" t="str">
        <f t="shared" si="7"/>
        <v>Mar-2025-week2</v>
      </c>
    </row>
    <row r="227" spans="1:13" x14ac:dyDescent="0.25">
      <c r="A227" s="2" t="s">
        <v>279</v>
      </c>
      <c r="B227" s="3">
        <v>45721</v>
      </c>
      <c r="C227" s="2" t="s">
        <v>12</v>
      </c>
      <c r="D227" s="2" t="s">
        <v>13</v>
      </c>
      <c r="E227" s="4">
        <v>60</v>
      </c>
      <c r="F227" s="2">
        <v>4</v>
      </c>
      <c r="G227" s="6">
        <v>240</v>
      </c>
      <c r="H227" t="s">
        <v>72</v>
      </c>
      <c r="I227" t="s">
        <v>81</v>
      </c>
      <c r="J227" t="s">
        <v>27</v>
      </c>
      <c r="K227" t="s">
        <v>40</v>
      </c>
      <c r="L227" t="str">
        <f t="shared" si="6"/>
        <v>Mar-2025</v>
      </c>
      <c r="M227" s="11" t="str">
        <f t="shared" si="7"/>
        <v>Mar-2025-week1</v>
      </c>
    </row>
    <row r="228" spans="1:13" x14ac:dyDescent="0.25">
      <c r="A228" s="2" t="s">
        <v>280</v>
      </c>
      <c r="B228" s="3">
        <v>45749</v>
      </c>
      <c r="C228" s="2" t="s">
        <v>19</v>
      </c>
      <c r="D228" s="2" t="s">
        <v>20</v>
      </c>
      <c r="E228" s="4">
        <v>100</v>
      </c>
      <c r="F228" s="2">
        <v>5</v>
      </c>
      <c r="G228" s="6">
        <v>500</v>
      </c>
      <c r="H228" t="s">
        <v>14</v>
      </c>
      <c r="I228" t="s">
        <v>44</v>
      </c>
      <c r="J228" t="s">
        <v>27</v>
      </c>
      <c r="K228" t="s">
        <v>17</v>
      </c>
      <c r="L228" t="str">
        <f t="shared" si="6"/>
        <v>Apr-2025</v>
      </c>
      <c r="M228" s="11" t="str">
        <f t="shared" si="7"/>
        <v>Apr-2025-week1</v>
      </c>
    </row>
    <row r="229" spans="1:13" x14ac:dyDescent="0.25">
      <c r="A229" s="2" t="s">
        <v>281</v>
      </c>
      <c r="B229" s="3">
        <v>45700</v>
      </c>
      <c r="C229" s="2" t="s">
        <v>12</v>
      </c>
      <c r="D229" s="2" t="s">
        <v>13</v>
      </c>
      <c r="E229" s="4">
        <v>60</v>
      </c>
      <c r="F229" s="2">
        <v>1</v>
      </c>
      <c r="G229" s="6">
        <v>60</v>
      </c>
      <c r="H229" t="s">
        <v>51</v>
      </c>
      <c r="I229" t="s">
        <v>22</v>
      </c>
      <c r="J229" t="s">
        <v>31</v>
      </c>
      <c r="K229" t="s">
        <v>23</v>
      </c>
      <c r="L229" t="str">
        <f t="shared" si="6"/>
        <v>Feb-2025</v>
      </c>
      <c r="M229" s="11" t="str">
        <f t="shared" si="7"/>
        <v>Feb-2025-week2</v>
      </c>
    </row>
    <row r="230" spans="1:13" x14ac:dyDescent="0.25">
      <c r="A230" s="2" t="s">
        <v>282</v>
      </c>
      <c r="B230" s="3">
        <v>45737</v>
      </c>
      <c r="C230" s="2" t="s">
        <v>12</v>
      </c>
      <c r="D230" s="2" t="s">
        <v>13</v>
      </c>
      <c r="E230" s="4">
        <v>60</v>
      </c>
      <c r="F230" s="2">
        <v>3</v>
      </c>
      <c r="G230" s="6">
        <v>180</v>
      </c>
      <c r="H230" t="s">
        <v>14</v>
      </c>
      <c r="I230" t="s">
        <v>22</v>
      </c>
      <c r="J230" t="s">
        <v>31</v>
      </c>
      <c r="K230" t="s">
        <v>23</v>
      </c>
      <c r="L230" t="str">
        <f t="shared" si="6"/>
        <v>Mar-2025</v>
      </c>
      <c r="M230" s="11" t="str">
        <f t="shared" si="7"/>
        <v>Mar-2025-week3</v>
      </c>
    </row>
    <row r="231" spans="1:13" x14ac:dyDescent="0.25">
      <c r="A231" s="2" t="s">
        <v>283</v>
      </c>
      <c r="B231" s="3">
        <v>45747</v>
      </c>
      <c r="C231" s="2" t="s">
        <v>19</v>
      </c>
      <c r="D231" s="2" t="s">
        <v>20</v>
      </c>
      <c r="E231" s="4">
        <v>100</v>
      </c>
      <c r="F231" s="2">
        <v>4</v>
      </c>
      <c r="G231" s="6">
        <v>400</v>
      </c>
      <c r="H231" t="s">
        <v>80</v>
      </c>
      <c r="I231" t="s">
        <v>22</v>
      </c>
      <c r="J231" t="s">
        <v>27</v>
      </c>
      <c r="K231" t="s">
        <v>23</v>
      </c>
      <c r="L231" t="str">
        <f t="shared" si="6"/>
        <v>Mar-2025</v>
      </c>
      <c r="M231" s="11" t="str">
        <f t="shared" si="7"/>
        <v>Mar-2025-week5</v>
      </c>
    </row>
    <row r="232" spans="1:13" x14ac:dyDescent="0.25">
      <c r="A232" s="2" t="s">
        <v>284</v>
      </c>
      <c r="B232" s="3">
        <v>45704</v>
      </c>
      <c r="C232" s="2" t="s">
        <v>56</v>
      </c>
      <c r="D232" s="2" t="s">
        <v>20</v>
      </c>
      <c r="E232" s="4">
        <v>800</v>
      </c>
      <c r="F232" s="2">
        <v>5</v>
      </c>
      <c r="G232" s="6">
        <v>4000</v>
      </c>
      <c r="H232" t="s">
        <v>80</v>
      </c>
      <c r="I232" t="s">
        <v>46</v>
      </c>
      <c r="J232" t="s">
        <v>31</v>
      </c>
      <c r="K232" t="s">
        <v>17</v>
      </c>
      <c r="L232" t="str">
        <f t="shared" si="6"/>
        <v>Feb-2025</v>
      </c>
      <c r="M232" s="11" t="str">
        <f t="shared" si="7"/>
        <v>Feb-2025-week3</v>
      </c>
    </row>
    <row r="233" spans="1:13" x14ac:dyDescent="0.25">
      <c r="A233" s="2" t="s">
        <v>285</v>
      </c>
      <c r="B233" s="3">
        <v>45730</v>
      </c>
      <c r="C233" s="2" t="s">
        <v>65</v>
      </c>
      <c r="D233" s="2" t="s">
        <v>61</v>
      </c>
      <c r="E233" s="4">
        <v>1200</v>
      </c>
      <c r="F233" s="2">
        <v>3</v>
      </c>
      <c r="G233" s="6">
        <v>3600</v>
      </c>
      <c r="H233" t="s">
        <v>14</v>
      </c>
      <c r="I233" t="s">
        <v>68</v>
      </c>
      <c r="J233" t="s">
        <v>31</v>
      </c>
      <c r="K233" t="s">
        <v>40</v>
      </c>
      <c r="L233" t="str">
        <f t="shared" si="6"/>
        <v>Mar-2025</v>
      </c>
      <c r="M233" s="11" t="str">
        <f t="shared" si="7"/>
        <v>Mar-2025-week2</v>
      </c>
    </row>
    <row r="234" spans="1:13" x14ac:dyDescent="0.25">
      <c r="A234" s="2" t="s">
        <v>286</v>
      </c>
      <c r="B234" s="3">
        <v>45708</v>
      </c>
      <c r="C234" s="2" t="s">
        <v>12</v>
      </c>
      <c r="D234" s="2" t="s">
        <v>13</v>
      </c>
      <c r="E234" s="4">
        <v>60</v>
      </c>
      <c r="F234" s="2">
        <v>1</v>
      </c>
      <c r="G234" s="6">
        <v>60</v>
      </c>
      <c r="H234" t="s">
        <v>51</v>
      </c>
      <c r="I234" t="s">
        <v>46</v>
      </c>
      <c r="J234" t="s">
        <v>39</v>
      </c>
      <c r="K234" t="s">
        <v>17</v>
      </c>
      <c r="L234" t="str">
        <f t="shared" si="6"/>
        <v>Feb-2025</v>
      </c>
      <c r="M234" s="11" t="str">
        <f t="shared" si="7"/>
        <v>Feb-2025-week3</v>
      </c>
    </row>
    <row r="235" spans="1:13" x14ac:dyDescent="0.25">
      <c r="A235" s="2" t="s">
        <v>287</v>
      </c>
      <c r="B235" s="3">
        <v>45724</v>
      </c>
      <c r="C235" s="2" t="s">
        <v>49</v>
      </c>
      <c r="D235" s="2" t="s">
        <v>50</v>
      </c>
      <c r="E235" s="4">
        <v>15</v>
      </c>
      <c r="F235" s="2">
        <v>1</v>
      </c>
      <c r="G235" s="6">
        <v>15</v>
      </c>
      <c r="H235" t="s">
        <v>80</v>
      </c>
      <c r="I235" t="s">
        <v>44</v>
      </c>
      <c r="J235" t="s">
        <v>27</v>
      </c>
      <c r="K235" t="s">
        <v>17</v>
      </c>
      <c r="L235" t="str">
        <f t="shared" si="6"/>
        <v>Mar-2025</v>
      </c>
      <c r="M235" s="11" t="str">
        <f t="shared" si="7"/>
        <v>Mar-2025-week2</v>
      </c>
    </row>
    <row r="236" spans="1:13" x14ac:dyDescent="0.25">
      <c r="A236" s="2" t="s">
        <v>288</v>
      </c>
      <c r="B236" s="3">
        <v>45739</v>
      </c>
      <c r="C236" s="2" t="s">
        <v>65</v>
      </c>
      <c r="D236" s="2" t="s">
        <v>61</v>
      </c>
      <c r="E236" s="4">
        <v>1200</v>
      </c>
      <c r="F236" s="2">
        <v>1</v>
      </c>
      <c r="G236" s="6">
        <v>1200</v>
      </c>
      <c r="H236" t="s">
        <v>57</v>
      </c>
      <c r="I236" t="s">
        <v>30</v>
      </c>
      <c r="J236" t="s">
        <v>39</v>
      </c>
      <c r="K236" t="s">
        <v>40</v>
      </c>
      <c r="L236" t="str">
        <f t="shared" si="6"/>
        <v>Mar-2025</v>
      </c>
      <c r="M236" s="11" t="str">
        <f t="shared" si="7"/>
        <v>Mar-2025-week4</v>
      </c>
    </row>
    <row r="237" spans="1:13" x14ac:dyDescent="0.25">
      <c r="A237" s="2" t="s">
        <v>289</v>
      </c>
      <c r="B237" s="3">
        <v>45721</v>
      </c>
      <c r="C237" s="2" t="s">
        <v>42</v>
      </c>
      <c r="D237" s="2" t="s">
        <v>20</v>
      </c>
      <c r="E237" s="4">
        <v>500</v>
      </c>
      <c r="F237" s="2">
        <v>5</v>
      </c>
      <c r="G237" s="6">
        <v>2500</v>
      </c>
      <c r="H237" t="s">
        <v>25</v>
      </c>
      <c r="I237" t="s">
        <v>46</v>
      </c>
      <c r="J237" t="s">
        <v>39</v>
      </c>
      <c r="K237" t="s">
        <v>40</v>
      </c>
      <c r="L237" t="str">
        <f t="shared" si="6"/>
        <v>Mar-2025</v>
      </c>
      <c r="M237" s="11" t="str">
        <f t="shared" si="7"/>
        <v>Mar-2025-week1</v>
      </c>
    </row>
    <row r="238" spans="1:13" x14ac:dyDescent="0.25">
      <c r="A238" s="2" t="s">
        <v>290</v>
      </c>
      <c r="B238" s="3">
        <v>45699</v>
      </c>
      <c r="C238" s="2" t="s">
        <v>19</v>
      </c>
      <c r="D238" s="2" t="s">
        <v>20</v>
      </c>
      <c r="E238" s="4">
        <v>100</v>
      </c>
      <c r="F238" s="2">
        <v>3</v>
      </c>
      <c r="G238" s="6">
        <v>300</v>
      </c>
      <c r="H238" t="s">
        <v>54</v>
      </c>
      <c r="I238" t="s">
        <v>38</v>
      </c>
      <c r="J238" t="s">
        <v>16</v>
      </c>
      <c r="K238" t="s">
        <v>17</v>
      </c>
      <c r="L238" t="str">
        <f t="shared" si="6"/>
        <v>Feb-2025</v>
      </c>
      <c r="M238" s="11" t="str">
        <f t="shared" si="7"/>
        <v>Feb-2025-week2</v>
      </c>
    </row>
    <row r="239" spans="1:13" x14ac:dyDescent="0.25">
      <c r="A239" s="2" t="s">
        <v>291</v>
      </c>
      <c r="B239" s="3">
        <v>45732</v>
      </c>
      <c r="C239" s="2" t="s">
        <v>19</v>
      </c>
      <c r="D239" s="2" t="s">
        <v>20</v>
      </c>
      <c r="E239" s="4">
        <v>100</v>
      </c>
      <c r="F239" s="2">
        <v>1</v>
      </c>
      <c r="G239" s="6">
        <v>100</v>
      </c>
      <c r="H239" t="s">
        <v>29</v>
      </c>
      <c r="I239" t="s">
        <v>26</v>
      </c>
      <c r="J239" t="s">
        <v>39</v>
      </c>
      <c r="K239" t="s">
        <v>40</v>
      </c>
      <c r="L239" t="str">
        <f t="shared" si="6"/>
        <v>Mar-2025</v>
      </c>
      <c r="M239" s="11" t="str">
        <f t="shared" si="7"/>
        <v>Mar-2025-week3</v>
      </c>
    </row>
    <row r="240" spans="1:13" x14ac:dyDescent="0.25">
      <c r="A240" s="2" t="s">
        <v>292</v>
      </c>
      <c r="B240" s="3">
        <v>45738</v>
      </c>
      <c r="C240" s="2" t="s">
        <v>33</v>
      </c>
      <c r="D240" s="2" t="s">
        <v>20</v>
      </c>
      <c r="E240" s="4">
        <v>150</v>
      </c>
      <c r="F240" s="2">
        <v>5</v>
      </c>
      <c r="G240" s="6">
        <v>750</v>
      </c>
      <c r="H240" t="s">
        <v>57</v>
      </c>
      <c r="I240" t="s">
        <v>38</v>
      </c>
      <c r="J240" t="s">
        <v>27</v>
      </c>
      <c r="K240" t="s">
        <v>40</v>
      </c>
      <c r="L240" t="str">
        <f t="shared" si="6"/>
        <v>Mar-2025</v>
      </c>
      <c r="M240" s="11" t="str">
        <f t="shared" si="7"/>
        <v>Mar-2025-week4</v>
      </c>
    </row>
    <row r="241" spans="1:13" x14ac:dyDescent="0.25">
      <c r="A241" s="2" t="s">
        <v>293</v>
      </c>
      <c r="B241" s="3">
        <v>45697</v>
      </c>
      <c r="C241" s="2" t="s">
        <v>33</v>
      </c>
      <c r="D241" s="2" t="s">
        <v>20</v>
      </c>
      <c r="E241" s="4">
        <v>150</v>
      </c>
      <c r="F241" s="2">
        <v>1</v>
      </c>
      <c r="G241" s="6">
        <v>150</v>
      </c>
      <c r="H241" t="s">
        <v>25</v>
      </c>
      <c r="I241" t="s">
        <v>26</v>
      </c>
      <c r="J241" t="s">
        <v>58</v>
      </c>
      <c r="K241" t="s">
        <v>23</v>
      </c>
      <c r="L241" t="str">
        <f t="shared" si="6"/>
        <v>Feb-2025</v>
      </c>
      <c r="M241" s="11" t="str">
        <f t="shared" si="7"/>
        <v>Feb-2025-week2</v>
      </c>
    </row>
    <row r="242" spans="1:13" x14ac:dyDescent="0.25">
      <c r="A242" s="2" t="s">
        <v>294</v>
      </c>
      <c r="B242" s="3">
        <v>45746</v>
      </c>
      <c r="C242" s="2" t="s">
        <v>42</v>
      </c>
      <c r="D242" s="2" t="s">
        <v>20</v>
      </c>
      <c r="E242" s="4">
        <v>500</v>
      </c>
      <c r="F242" s="2">
        <v>4</v>
      </c>
      <c r="G242" s="6">
        <v>2000</v>
      </c>
      <c r="H242" t="s">
        <v>29</v>
      </c>
      <c r="I242" t="s">
        <v>15</v>
      </c>
      <c r="J242" t="s">
        <v>31</v>
      </c>
      <c r="K242" t="s">
        <v>23</v>
      </c>
      <c r="L242" t="str">
        <f t="shared" si="6"/>
        <v>Mar-2025</v>
      </c>
      <c r="M242" s="11" t="str">
        <f t="shared" si="7"/>
        <v>Mar-2025-week5</v>
      </c>
    </row>
    <row r="243" spans="1:13" x14ac:dyDescent="0.25">
      <c r="A243" s="2" t="s">
        <v>295</v>
      </c>
      <c r="B243" s="3">
        <v>45724</v>
      </c>
      <c r="C243" s="2" t="s">
        <v>42</v>
      </c>
      <c r="D243" s="2" t="s">
        <v>20</v>
      </c>
      <c r="E243" s="4">
        <v>500</v>
      </c>
      <c r="F243" s="2">
        <v>4</v>
      </c>
      <c r="G243" s="6">
        <v>2000</v>
      </c>
      <c r="H243" t="s">
        <v>72</v>
      </c>
      <c r="I243" t="s">
        <v>46</v>
      </c>
      <c r="J243" t="s">
        <v>58</v>
      </c>
      <c r="K243" t="s">
        <v>23</v>
      </c>
      <c r="L243" t="str">
        <f t="shared" si="6"/>
        <v>Mar-2025</v>
      </c>
      <c r="M243" s="11" t="str">
        <f t="shared" si="7"/>
        <v>Mar-2025-week2</v>
      </c>
    </row>
    <row r="244" spans="1:13" x14ac:dyDescent="0.25">
      <c r="A244" s="2" t="s">
        <v>296</v>
      </c>
      <c r="B244" s="3">
        <v>45721</v>
      </c>
      <c r="C244" s="2" t="s">
        <v>12</v>
      </c>
      <c r="D244" s="2" t="s">
        <v>13</v>
      </c>
      <c r="E244" s="4">
        <v>60</v>
      </c>
      <c r="F244" s="2">
        <v>2</v>
      </c>
      <c r="G244" s="6">
        <v>120</v>
      </c>
      <c r="H244" t="s">
        <v>72</v>
      </c>
      <c r="I244" t="s">
        <v>38</v>
      </c>
      <c r="J244" t="s">
        <v>27</v>
      </c>
      <c r="K244" t="s">
        <v>40</v>
      </c>
      <c r="L244" t="str">
        <f t="shared" si="6"/>
        <v>Mar-2025</v>
      </c>
      <c r="M244" s="11" t="str">
        <f t="shared" si="7"/>
        <v>Mar-2025-week1</v>
      </c>
    </row>
    <row r="245" spans="1:13" x14ac:dyDescent="0.25">
      <c r="A245" s="2" t="s">
        <v>297</v>
      </c>
      <c r="B245" s="3">
        <v>45694</v>
      </c>
      <c r="C245" s="2" t="s">
        <v>42</v>
      </c>
      <c r="D245" s="2" t="s">
        <v>20</v>
      </c>
      <c r="E245" s="4">
        <v>500</v>
      </c>
      <c r="F245" s="2">
        <v>4</v>
      </c>
      <c r="G245" s="6">
        <v>2000</v>
      </c>
      <c r="H245" t="s">
        <v>14</v>
      </c>
      <c r="I245" t="s">
        <v>38</v>
      </c>
      <c r="J245" t="s">
        <v>31</v>
      </c>
      <c r="K245" t="s">
        <v>40</v>
      </c>
      <c r="L245" t="str">
        <f t="shared" si="6"/>
        <v>Feb-2025</v>
      </c>
      <c r="M245" s="11" t="str">
        <f t="shared" si="7"/>
        <v>Feb-2025-week1</v>
      </c>
    </row>
    <row r="246" spans="1:13" x14ac:dyDescent="0.25">
      <c r="A246" s="2" t="s">
        <v>298</v>
      </c>
      <c r="B246" s="3">
        <v>45692</v>
      </c>
      <c r="C246" s="2" t="s">
        <v>56</v>
      </c>
      <c r="D246" s="2" t="s">
        <v>20</v>
      </c>
      <c r="E246" s="4">
        <v>800</v>
      </c>
      <c r="F246" s="2">
        <v>1</v>
      </c>
      <c r="G246" s="6">
        <v>800</v>
      </c>
      <c r="H246" t="s">
        <v>54</v>
      </c>
      <c r="I246" t="s">
        <v>68</v>
      </c>
      <c r="J246" t="s">
        <v>31</v>
      </c>
      <c r="K246" t="s">
        <v>17</v>
      </c>
      <c r="L246" t="str">
        <f t="shared" si="6"/>
        <v>Feb-2025</v>
      </c>
      <c r="M246" s="11" t="str">
        <f t="shared" si="7"/>
        <v>Feb-2025-week1</v>
      </c>
    </row>
    <row r="247" spans="1:13" x14ac:dyDescent="0.25">
      <c r="A247" s="2" t="s">
        <v>299</v>
      </c>
      <c r="B247" s="3">
        <v>45733</v>
      </c>
      <c r="C247" s="2" t="s">
        <v>35</v>
      </c>
      <c r="D247" s="2" t="s">
        <v>36</v>
      </c>
      <c r="E247" s="4">
        <v>20</v>
      </c>
      <c r="F247" s="2">
        <v>2</v>
      </c>
      <c r="G247" s="6">
        <v>40</v>
      </c>
      <c r="H247" t="s">
        <v>57</v>
      </c>
      <c r="I247" t="s">
        <v>44</v>
      </c>
      <c r="J247" t="s">
        <v>16</v>
      </c>
      <c r="K247" t="s">
        <v>17</v>
      </c>
      <c r="L247" t="str">
        <f t="shared" si="6"/>
        <v>Mar-2025</v>
      </c>
      <c r="M247" s="11" t="str">
        <f t="shared" si="7"/>
        <v>Mar-2025-week3</v>
      </c>
    </row>
    <row r="248" spans="1:13" x14ac:dyDescent="0.25">
      <c r="A248" s="2" t="s">
        <v>300</v>
      </c>
      <c r="B248" s="3">
        <v>45746</v>
      </c>
      <c r="C248" s="2" t="s">
        <v>53</v>
      </c>
      <c r="D248" s="2" t="s">
        <v>36</v>
      </c>
      <c r="E248" s="4">
        <v>40</v>
      </c>
      <c r="F248" s="2">
        <v>1</v>
      </c>
      <c r="G248" s="6">
        <v>40</v>
      </c>
      <c r="H248" t="s">
        <v>43</v>
      </c>
      <c r="I248" t="s">
        <v>30</v>
      </c>
      <c r="J248" t="s">
        <v>16</v>
      </c>
      <c r="K248" t="s">
        <v>17</v>
      </c>
      <c r="L248" t="str">
        <f t="shared" si="6"/>
        <v>Mar-2025</v>
      </c>
      <c r="M248" s="11" t="str">
        <f t="shared" si="7"/>
        <v>Mar-2025-week5</v>
      </c>
    </row>
    <row r="249" spans="1:13" x14ac:dyDescent="0.25">
      <c r="A249" s="2" t="s">
        <v>301</v>
      </c>
      <c r="B249" s="3">
        <v>45721</v>
      </c>
      <c r="C249" s="2" t="s">
        <v>35</v>
      </c>
      <c r="D249" s="2" t="s">
        <v>36</v>
      </c>
      <c r="E249" s="4">
        <v>20</v>
      </c>
      <c r="F249" s="2">
        <v>2</v>
      </c>
      <c r="G249" s="6">
        <v>40</v>
      </c>
      <c r="H249" t="s">
        <v>72</v>
      </c>
      <c r="I249" t="s">
        <v>26</v>
      </c>
      <c r="J249" t="s">
        <v>16</v>
      </c>
      <c r="K249" t="s">
        <v>17</v>
      </c>
      <c r="L249" t="str">
        <f t="shared" si="6"/>
        <v>Mar-2025</v>
      </c>
      <c r="M249" s="11" t="str">
        <f t="shared" si="7"/>
        <v>Mar-2025-week1</v>
      </c>
    </row>
    <row r="250" spans="1:13" x14ac:dyDescent="0.25">
      <c r="A250" s="2" t="s">
        <v>302</v>
      </c>
      <c r="B250" s="3">
        <v>45724</v>
      </c>
      <c r="C250" s="2" t="s">
        <v>33</v>
      </c>
      <c r="D250" s="2" t="s">
        <v>20</v>
      </c>
      <c r="E250" s="4">
        <v>150</v>
      </c>
      <c r="F250" s="2">
        <v>3</v>
      </c>
      <c r="G250" s="6">
        <v>450</v>
      </c>
      <c r="H250" t="s">
        <v>21</v>
      </c>
      <c r="I250" t="s">
        <v>15</v>
      </c>
      <c r="J250" t="s">
        <v>16</v>
      </c>
      <c r="K250" t="s">
        <v>17</v>
      </c>
      <c r="L250" t="str">
        <f t="shared" si="6"/>
        <v>Mar-2025</v>
      </c>
      <c r="M250" s="11" t="str">
        <f t="shared" si="7"/>
        <v>Mar-2025-week2</v>
      </c>
    </row>
    <row r="251" spans="1:13" x14ac:dyDescent="0.25">
      <c r="A251" s="2" t="s">
        <v>303</v>
      </c>
      <c r="B251" s="3">
        <v>45707</v>
      </c>
      <c r="C251" s="2" t="s">
        <v>42</v>
      </c>
      <c r="D251" s="2" t="s">
        <v>20</v>
      </c>
      <c r="E251" s="4">
        <v>500</v>
      </c>
      <c r="F251" s="2">
        <v>4</v>
      </c>
      <c r="G251" s="6">
        <v>2000</v>
      </c>
      <c r="H251" t="s">
        <v>21</v>
      </c>
      <c r="I251" t="s">
        <v>63</v>
      </c>
      <c r="J251" t="s">
        <v>27</v>
      </c>
      <c r="K251" t="s">
        <v>40</v>
      </c>
      <c r="L251" t="str">
        <f t="shared" si="6"/>
        <v>Feb-2025</v>
      </c>
      <c r="M251" s="11" t="str">
        <f t="shared" si="7"/>
        <v>Feb-2025-week3</v>
      </c>
    </row>
    <row r="252" spans="1:13" x14ac:dyDescent="0.25">
      <c r="M252" s="11"/>
    </row>
    <row r="253" spans="1:13" x14ac:dyDescent="0.25">
      <c r="M253" s="1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FF40C5-A13D-4A1C-8229-73094303AEF3}">
  <dimension ref="A3:U70"/>
  <sheetViews>
    <sheetView topLeftCell="N67" workbookViewId="0">
      <selection activeCell="B1" sqref="B1:AC87"/>
    </sheetView>
  </sheetViews>
  <sheetFormatPr defaultRowHeight="15" x14ac:dyDescent="0.25"/>
  <cols>
    <col min="1" max="1" width="13.42578125" bestFit="1" customWidth="1"/>
    <col min="2" max="2" width="17.7109375" bestFit="1" customWidth="1"/>
    <col min="3" max="3" width="12.28515625" bestFit="1" customWidth="1"/>
    <col min="4" max="4" width="13.5703125" bestFit="1" customWidth="1"/>
    <col min="5" max="5" width="17.7109375" bestFit="1" customWidth="1"/>
    <col min="7" max="7" width="14.140625" bestFit="1" customWidth="1"/>
    <col min="8" max="8" width="17.7109375" bestFit="1" customWidth="1"/>
    <col min="9" max="9" width="12.28515625" bestFit="1" customWidth="1"/>
    <col min="10" max="10" width="16.5703125" bestFit="1" customWidth="1"/>
    <col min="11" max="11" width="15.5703125" bestFit="1" customWidth="1"/>
    <col min="13" max="13" width="13.42578125" bestFit="1" customWidth="1"/>
    <col min="14" max="14" width="17.7109375" bestFit="1" customWidth="1"/>
    <col min="17" max="18" width="17.7109375" bestFit="1" customWidth="1"/>
    <col min="20" max="20" width="15.42578125" bestFit="1" customWidth="1"/>
    <col min="21" max="21" width="17.7109375" bestFit="1" customWidth="1"/>
  </cols>
  <sheetData>
    <row r="3" spans="1:21" x14ac:dyDescent="0.25">
      <c r="A3" t="s">
        <v>305</v>
      </c>
      <c r="C3" t="s">
        <v>306</v>
      </c>
      <c r="E3" t="s">
        <v>307</v>
      </c>
      <c r="G3" t="s">
        <v>316</v>
      </c>
      <c r="I3" t="s">
        <v>306</v>
      </c>
    </row>
    <row r="4" spans="1:21" x14ac:dyDescent="0.25">
      <c r="A4" s="11">
        <v>243845</v>
      </c>
      <c r="C4" s="11">
        <v>85895</v>
      </c>
      <c r="E4" s="11">
        <v>10</v>
      </c>
      <c r="G4" s="11">
        <v>714</v>
      </c>
      <c r="I4" s="11">
        <v>85895</v>
      </c>
    </row>
    <row r="5" spans="1:21" x14ac:dyDescent="0.25">
      <c r="T5" s="8" t="s">
        <v>308</v>
      </c>
      <c r="U5" t="s">
        <v>305</v>
      </c>
    </row>
    <row r="6" spans="1:21" x14ac:dyDescent="0.25">
      <c r="A6" s="8" t="s">
        <v>308</v>
      </c>
      <c r="B6" t="s">
        <v>305</v>
      </c>
      <c r="D6" s="8" t="s">
        <v>308</v>
      </c>
      <c r="E6" t="s">
        <v>305</v>
      </c>
      <c r="G6" s="8" t="s">
        <v>308</v>
      </c>
      <c r="H6" t="s">
        <v>305</v>
      </c>
      <c r="J6" s="8" t="s">
        <v>308</v>
      </c>
      <c r="K6" t="s">
        <v>305</v>
      </c>
      <c r="T6" s="9" t="s">
        <v>318</v>
      </c>
      <c r="U6" s="11">
        <v>3420</v>
      </c>
    </row>
    <row r="7" spans="1:21" x14ac:dyDescent="0.25">
      <c r="A7" s="9" t="s">
        <v>72</v>
      </c>
      <c r="B7" s="11">
        <v>18885</v>
      </c>
      <c r="D7" s="9" t="s">
        <v>50</v>
      </c>
      <c r="E7" s="11">
        <v>1035</v>
      </c>
      <c r="G7" s="9" t="s">
        <v>313</v>
      </c>
      <c r="H7" s="11">
        <v>122695</v>
      </c>
      <c r="J7" s="9" t="s">
        <v>49</v>
      </c>
      <c r="K7" s="11">
        <v>1035</v>
      </c>
      <c r="T7" s="9" t="s">
        <v>319</v>
      </c>
      <c r="U7" s="11">
        <v>33095</v>
      </c>
    </row>
    <row r="8" spans="1:21" x14ac:dyDescent="0.25">
      <c r="A8" s="9" t="s">
        <v>57</v>
      </c>
      <c r="B8" s="11">
        <v>18945</v>
      </c>
      <c r="D8" s="9" t="s">
        <v>36</v>
      </c>
      <c r="E8" s="11">
        <v>3540</v>
      </c>
      <c r="G8" s="10">
        <v>45690</v>
      </c>
      <c r="H8" s="11">
        <v>3600</v>
      </c>
      <c r="J8" s="9" t="s">
        <v>35</v>
      </c>
      <c r="K8" s="11">
        <v>1060</v>
      </c>
      <c r="T8" s="9" t="s">
        <v>320</v>
      </c>
      <c r="U8" s="11">
        <v>29140</v>
      </c>
    </row>
    <row r="9" spans="1:21" x14ac:dyDescent="0.25">
      <c r="A9" s="9" t="s">
        <v>51</v>
      </c>
      <c r="B9" s="11">
        <v>22665</v>
      </c>
      <c r="D9" s="9" t="s">
        <v>20</v>
      </c>
      <c r="E9" s="11">
        <v>129950</v>
      </c>
      <c r="G9" s="10">
        <v>45691</v>
      </c>
      <c r="H9" s="11">
        <v>3360</v>
      </c>
      <c r="J9" s="9" t="s">
        <v>53</v>
      </c>
      <c r="K9" s="11">
        <v>2480</v>
      </c>
      <c r="T9" s="9" t="s">
        <v>321</v>
      </c>
      <c r="U9" s="11">
        <v>33400</v>
      </c>
    </row>
    <row r="10" spans="1:21" x14ac:dyDescent="0.25">
      <c r="A10" s="9" t="s">
        <v>21</v>
      </c>
      <c r="B10" s="11">
        <v>23475</v>
      </c>
      <c r="D10" s="9" t="s">
        <v>13</v>
      </c>
      <c r="E10" s="11">
        <v>4320</v>
      </c>
      <c r="G10" s="10">
        <v>45692</v>
      </c>
      <c r="H10" s="11">
        <v>6815</v>
      </c>
      <c r="J10" s="9" t="s">
        <v>12</v>
      </c>
      <c r="K10" s="11">
        <v>4320</v>
      </c>
      <c r="T10" s="9" t="s">
        <v>322</v>
      </c>
      <c r="U10" s="11">
        <v>27060</v>
      </c>
    </row>
    <row r="11" spans="1:21" x14ac:dyDescent="0.25">
      <c r="A11" s="9" t="s">
        <v>14</v>
      </c>
      <c r="B11" s="11">
        <v>29700</v>
      </c>
      <c r="D11" s="9" t="s">
        <v>61</v>
      </c>
      <c r="E11" s="11">
        <v>105000</v>
      </c>
      <c r="G11" s="10">
        <v>45693</v>
      </c>
      <c r="H11" s="11">
        <v>5400</v>
      </c>
      <c r="J11" s="9" t="s">
        <v>19</v>
      </c>
      <c r="K11" s="11">
        <v>7300</v>
      </c>
      <c r="T11" s="9" t="s">
        <v>323</v>
      </c>
      <c r="U11" s="11">
        <v>33675</v>
      </c>
    </row>
    <row r="12" spans="1:21" x14ac:dyDescent="0.25">
      <c r="A12" s="9" t="s">
        <v>80</v>
      </c>
      <c r="B12" s="11">
        <v>31185</v>
      </c>
      <c r="D12" s="9" t="s">
        <v>309</v>
      </c>
      <c r="E12" s="11">
        <v>243845</v>
      </c>
      <c r="G12" s="10">
        <v>45694</v>
      </c>
      <c r="H12" s="11">
        <v>11400</v>
      </c>
      <c r="J12" s="9" t="s">
        <v>33</v>
      </c>
      <c r="K12" s="11">
        <v>15750</v>
      </c>
      <c r="T12" s="9" t="s">
        <v>324</v>
      </c>
      <c r="U12" s="11">
        <v>17750</v>
      </c>
    </row>
    <row r="13" spans="1:21" x14ac:dyDescent="0.25">
      <c r="A13" s="9" t="s">
        <v>25</v>
      </c>
      <c r="B13" s="11">
        <v>26870</v>
      </c>
      <c r="G13" s="10">
        <v>45695</v>
      </c>
      <c r="H13" s="11">
        <v>2520</v>
      </c>
      <c r="J13" s="9" t="s">
        <v>60</v>
      </c>
      <c r="K13" s="11">
        <v>27000</v>
      </c>
      <c r="T13" s="9" t="s">
        <v>325</v>
      </c>
      <c r="U13" s="11">
        <v>23870</v>
      </c>
    </row>
    <row r="14" spans="1:21" x14ac:dyDescent="0.25">
      <c r="A14" s="9" t="s">
        <v>54</v>
      </c>
      <c r="B14" s="11">
        <v>22655</v>
      </c>
      <c r="G14" s="10">
        <v>45696</v>
      </c>
      <c r="H14" s="11">
        <v>1640</v>
      </c>
      <c r="J14" s="9" t="s">
        <v>42</v>
      </c>
      <c r="K14" s="11">
        <v>48500</v>
      </c>
      <c r="T14" s="9" t="s">
        <v>326</v>
      </c>
      <c r="U14" s="11">
        <v>25770</v>
      </c>
    </row>
    <row r="15" spans="1:21" x14ac:dyDescent="0.25">
      <c r="A15" s="9" t="s">
        <v>29</v>
      </c>
      <c r="B15" s="11">
        <v>36170</v>
      </c>
      <c r="D15" s="8" t="s">
        <v>308</v>
      </c>
      <c r="E15" t="s">
        <v>305</v>
      </c>
      <c r="G15" s="10">
        <v>45697</v>
      </c>
      <c r="H15" s="11">
        <v>3550</v>
      </c>
      <c r="J15" s="9" t="s">
        <v>56</v>
      </c>
      <c r="K15" s="11">
        <v>58400</v>
      </c>
      <c r="T15" s="9" t="s">
        <v>327</v>
      </c>
      <c r="U15" s="11">
        <v>16665</v>
      </c>
    </row>
    <row r="16" spans="1:21" x14ac:dyDescent="0.25">
      <c r="A16" s="9" t="s">
        <v>43</v>
      </c>
      <c r="B16" s="11">
        <v>13295</v>
      </c>
      <c r="D16" s="9" t="s">
        <v>22</v>
      </c>
      <c r="E16" s="11">
        <v>16195</v>
      </c>
      <c r="G16" s="10">
        <v>45698</v>
      </c>
      <c r="H16" s="11">
        <v>10965</v>
      </c>
      <c r="J16" s="9" t="s">
        <v>65</v>
      </c>
      <c r="K16" s="11">
        <v>78000</v>
      </c>
      <c r="T16" s="9" t="s">
        <v>309</v>
      </c>
      <c r="U16" s="11">
        <v>243845</v>
      </c>
    </row>
    <row r="17" spans="1:14" x14ac:dyDescent="0.25">
      <c r="A17" s="9" t="s">
        <v>309</v>
      </c>
      <c r="B17" s="11">
        <v>243845</v>
      </c>
      <c r="D17" s="9" t="s">
        <v>68</v>
      </c>
      <c r="E17" s="11">
        <v>17820</v>
      </c>
      <c r="G17" s="10">
        <v>45699</v>
      </c>
      <c r="H17" s="11">
        <v>3550</v>
      </c>
      <c r="J17" s="9" t="s">
        <v>309</v>
      </c>
      <c r="K17" s="11">
        <v>243845</v>
      </c>
    </row>
    <row r="18" spans="1:14" x14ac:dyDescent="0.25">
      <c r="D18" s="9" t="s">
        <v>15</v>
      </c>
      <c r="E18" s="11">
        <v>18940</v>
      </c>
      <c r="G18" s="10">
        <v>45700</v>
      </c>
      <c r="H18" s="11">
        <v>3560</v>
      </c>
    </row>
    <row r="19" spans="1:14" x14ac:dyDescent="0.25">
      <c r="D19" s="9" t="s">
        <v>81</v>
      </c>
      <c r="E19" s="11">
        <v>20810</v>
      </c>
      <c r="G19" s="10">
        <v>45701</v>
      </c>
      <c r="H19" s="11">
        <v>4860</v>
      </c>
    </row>
    <row r="20" spans="1:14" x14ac:dyDescent="0.25">
      <c r="A20" s="8" t="s">
        <v>308</v>
      </c>
      <c r="B20" t="s">
        <v>305</v>
      </c>
      <c r="D20" s="9" t="s">
        <v>46</v>
      </c>
      <c r="E20" s="11">
        <v>26170</v>
      </c>
      <c r="G20" s="10">
        <v>45702</v>
      </c>
      <c r="H20" s="11">
        <v>1015</v>
      </c>
      <c r="M20" s="8" t="s">
        <v>308</v>
      </c>
      <c r="N20" t="s">
        <v>305</v>
      </c>
    </row>
    <row r="21" spans="1:14" x14ac:dyDescent="0.25">
      <c r="A21" s="9" t="s">
        <v>27</v>
      </c>
      <c r="B21" s="11">
        <v>32750</v>
      </c>
      <c r="D21" s="9" t="s">
        <v>63</v>
      </c>
      <c r="E21" s="11">
        <v>26890</v>
      </c>
      <c r="G21" s="10">
        <v>45703</v>
      </c>
      <c r="H21" s="11">
        <v>520</v>
      </c>
      <c r="J21" s="8" t="s">
        <v>308</v>
      </c>
      <c r="K21" t="s">
        <v>316</v>
      </c>
      <c r="M21" s="9" t="s">
        <v>310</v>
      </c>
      <c r="N21" s="11">
        <v>3420</v>
      </c>
    </row>
    <row r="22" spans="1:14" x14ac:dyDescent="0.25">
      <c r="A22" s="9" t="s">
        <v>31</v>
      </c>
      <c r="B22" s="11">
        <v>61595</v>
      </c>
      <c r="D22" s="9" t="s">
        <v>30</v>
      </c>
      <c r="E22" s="11">
        <v>27145</v>
      </c>
      <c r="G22" s="10">
        <v>45704</v>
      </c>
      <c r="H22" s="11">
        <v>9540</v>
      </c>
      <c r="J22" s="9" t="s">
        <v>50</v>
      </c>
      <c r="K22" s="11">
        <v>69</v>
      </c>
      <c r="M22" s="9" t="s">
        <v>311</v>
      </c>
      <c r="N22" s="11">
        <v>122695</v>
      </c>
    </row>
    <row r="23" spans="1:14" x14ac:dyDescent="0.25">
      <c r="A23" s="9" t="s">
        <v>16</v>
      </c>
      <c r="B23" s="11">
        <v>31900</v>
      </c>
      <c r="D23" s="9" t="s">
        <v>38</v>
      </c>
      <c r="E23" s="11">
        <v>28390</v>
      </c>
      <c r="G23" s="10">
        <v>45705</v>
      </c>
      <c r="H23" s="11">
        <v>1005</v>
      </c>
      <c r="J23" s="9" t="s">
        <v>36</v>
      </c>
      <c r="K23" s="11">
        <v>115</v>
      </c>
      <c r="M23" s="9" t="s">
        <v>312</v>
      </c>
      <c r="N23" s="11">
        <v>117730</v>
      </c>
    </row>
    <row r="24" spans="1:14" x14ac:dyDescent="0.25">
      <c r="A24" s="9" t="s">
        <v>58</v>
      </c>
      <c r="B24" s="11">
        <v>47955</v>
      </c>
      <c r="D24" s="9" t="s">
        <v>26</v>
      </c>
      <c r="E24" s="11">
        <v>29785</v>
      </c>
      <c r="G24" s="10">
        <v>45706</v>
      </c>
      <c r="H24" s="11">
        <v>8810</v>
      </c>
      <c r="J24" s="9" t="s">
        <v>20</v>
      </c>
      <c r="K24" s="11">
        <v>348</v>
      </c>
      <c r="M24" s="9" t="s">
        <v>309</v>
      </c>
      <c r="N24" s="11">
        <v>243845</v>
      </c>
    </row>
    <row r="25" spans="1:14" x14ac:dyDescent="0.25">
      <c r="A25" s="9" t="s">
        <v>39</v>
      </c>
      <c r="B25" s="11">
        <v>69645</v>
      </c>
      <c r="D25" s="9" t="s">
        <v>44</v>
      </c>
      <c r="E25" s="11">
        <v>31700</v>
      </c>
      <c r="G25" s="10">
        <v>45707</v>
      </c>
      <c r="H25" s="11">
        <v>2195</v>
      </c>
      <c r="J25" s="9" t="s">
        <v>13</v>
      </c>
      <c r="K25" s="11">
        <v>72</v>
      </c>
    </row>
    <row r="26" spans="1:14" x14ac:dyDescent="0.25">
      <c r="A26" s="9" t="s">
        <v>309</v>
      </c>
      <c r="B26" s="11">
        <v>243845</v>
      </c>
      <c r="D26" s="9" t="s">
        <v>309</v>
      </c>
      <c r="E26" s="11">
        <v>243845</v>
      </c>
      <c r="G26" s="10">
        <v>45708</v>
      </c>
      <c r="H26" s="11">
        <v>6730</v>
      </c>
      <c r="J26" s="9" t="s">
        <v>61</v>
      </c>
      <c r="K26" s="11">
        <v>110</v>
      </c>
    </row>
    <row r="27" spans="1:14" x14ac:dyDescent="0.25">
      <c r="G27" s="10">
        <v>45709</v>
      </c>
      <c r="H27" s="11">
        <v>4600</v>
      </c>
      <c r="J27" s="9" t="s">
        <v>309</v>
      </c>
      <c r="K27" s="11">
        <v>714</v>
      </c>
    </row>
    <row r="28" spans="1:14" x14ac:dyDescent="0.25">
      <c r="G28" s="10">
        <v>45710</v>
      </c>
      <c r="H28" s="11">
        <v>1800</v>
      </c>
    </row>
    <row r="29" spans="1:14" x14ac:dyDescent="0.25">
      <c r="A29" s="8" t="s">
        <v>308</v>
      </c>
      <c r="B29" t="s">
        <v>305</v>
      </c>
      <c r="G29" s="10">
        <v>45711</v>
      </c>
      <c r="H29" s="11">
        <v>2570</v>
      </c>
    </row>
    <row r="30" spans="1:14" x14ac:dyDescent="0.25">
      <c r="A30" s="9" t="s">
        <v>17</v>
      </c>
      <c r="B30" s="11">
        <v>65030</v>
      </c>
      <c r="G30" s="10">
        <v>45712</v>
      </c>
      <c r="H30" s="11">
        <v>6900</v>
      </c>
    </row>
    <row r="31" spans="1:14" x14ac:dyDescent="0.25">
      <c r="A31" s="9" t="s">
        <v>40</v>
      </c>
      <c r="B31" s="11">
        <v>88530</v>
      </c>
      <c r="G31" s="10">
        <v>45713</v>
      </c>
      <c r="H31" s="11">
        <v>6300</v>
      </c>
    </row>
    <row r="32" spans="1:14" x14ac:dyDescent="0.25">
      <c r="A32" s="9" t="s">
        <v>23</v>
      </c>
      <c r="B32" s="11">
        <v>90285</v>
      </c>
      <c r="G32" s="10">
        <v>45714</v>
      </c>
      <c r="H32" s="11">
        <v>1980</v>
      </c>
    </row>
    <row r="33" spans="1:8" x14ac:dyDescent="0.25">
      <c r="A33" s="9" t="s">
        <v>309</v>
      </c>
      <c r="B33" s="11">
        <v>243845</v>
      </c>
      <c r="G33" s="10">
        <v>45715</v>
      </c>
      <c r="H33" s="11">
        <v>300</v>
      </c>
    </row>
    <row r="34" spans="1:8" x14ac:dyDescent="0.25">
      <c r="G34" s="10">
        <v>45716</v>
      </c>
      <c r="H34" s="11">
        <v>7210</v>
      </c>
    </row>
    <row r="35" spans="1:8" x14ac:dyDescent="0.25">
      <c r="G35" s="9" t="s">
        <v>314</v>
      </c>
      <c r="H35" s="11">
        <v>117730</v>
      </c>
    </row>
    <row r="36" spans="1:8" x14ac:dyDescent="0.25">
      <c r="G36" s="10">
        <v>45717</v>
      </c>
      <c r="H36" s="11">
        <v>1800</v>
      </c>
    </row>
    <row r="37" spans="1:8" x14ac:dyDescent="0.25">
      <c r="G37" s="10">
        <v>45718</v>
      </c>
      <c r="H37" s="11">
        <v>4575</v>
      </c>
    </row>
    <row r="38" spans="1:8" x14ac:dyDescent="0.25">
      <c r="G38" s="10">
        <v>45719</v>
      </c>
      <c r="H38" s="11">
        <v>120</v>
      </c>
    </row>
    <row r="39" spans="1:8" x14ac:dyDescent="0.25">
      <c r="G39" s="10">
        <v>45720</v>
      </c>
      <c r="H39" s="11">
        <v>5900</v>
      </c>
    </row>
    <row r="40" spans="1:8" x14ac:dyDescent="0.25">
      <c r="G40" s="10">
        <v>45721</v>
      </c>
      <c r="H40" s="11">
        <v>2900</v>
      </c>
    </row>
    <row r="41" spans="1:8" x14ac:dyDescent="0.25">
      <c r="G41" s="10">
        <v>45722</v>
      </c>
      <c r="H41" s="11">
        <v>9720</v>
      </c>
    </row>
    <row r="42" spans="1:8" x14ac:dyDescent="0.25">
      <c r="G42" s="10">
        <v>45723</v>
      </c>
      <c r="H42" s="11">
        <v>8660</v>
      </c>
    </row>
    <row r="43" spans="1:8" x14ac:dyDescent="0.25">
      <c r="G43" s="10">
        <v>45724</v>
      </c>
      <c r="H43" s="11">
        <v>3125</v>
      </c>
    </row>
    <row r="44" spans="1:8" x14ac:dyDescent="0.25">
      <c r="G44" s="10">
        <v>45725</v>
      </c>
      <c r="H44" s="11">
        <v>200</v>
      </c>
    </row>
    <row r="45" spans="1:8" x14ac:dyDescent="0.25">
      <c r="G45" s="10">
        <v>45726</v>
      </c>
      <c r="H45" s="11">
        <v>3965</v>
      </c>
    </row>
    <row r="46" spans="1:8" x14ac:dyDescent="0.25">
      <c r="G46" s="10">
        <v>45727</v>
      </c>
      <c r="H46" s="11">
        <v>1240</v>
      </c>
    </row>
    <row r="47" spans="1:8" x14ac:dyDescent="0.25">
      <c r="G47" s="10">
        <v>45728</v>
      </c>
      <c r="H47" s="11">
        <v>710</v>
      </c>
    </row>
    <row r="48" spans="1:8" x14ac:dyDescent="0.25">
      <c r="G48" s="10">
        <v>45729</v>
      </c>
      <c r="H48" s="11">
        <v>4160</v>
      </c>
    </row>
    <row r="49" spans="7:8" x14ac:dyDescent="0.25">
      <c r="G49" s="10">
        <v>45730</v>
      </c>
      <c r="H49" s="11">
        <v>4350</v>
      </c>
    </row>
    <row r="50" spans="7:8" x14ac:dyDescent="0.25">
      <c r="G50" s="10">
        <v>45731</v>
      </c>
      <c r="H50" s="11">
        <v>7190</v>
      </c>
    </row>
    <row r="51" spans="7:8" x14ac:dyDescent="0.25">
      <c r="G51" s="10">
        <v>45732</v>
      </c>
      <c r="H51" s="11">
        <v>2735</v>
      </c>
    </row>
    <row r="52" spans="7:8" x14ac:dyDescent="0.25">
      <c r="G52" s="10">
        <v>45733</v>
      </c>
      <c r="H52" s="11">
        <v>540</v>
      </c>
    </row>
    <row r="53" spans="7:8" x14ac:dyDescent="0.25">
      <c r="G53" s="10">
        <v>45734</v>
      </c>
      <c r="H53" s="11">
        <v>3700</v>
      </c>
    </row>
    <row r="54" spans="7:8" x14ac:dyDescent="0.25">
      <c r="G54" s="10">
        <v>45735</v>
      </c>
      <c r="H54" s="11">
        <v>4115</v>
      </c>
    </row>
    <row r="55" spans="7:8" x14ac:dyDescent="0.25">
      <c r="G55" s="10">
        <v>45736</v>
      </c>
      <c r="H55" s="11">
        <v>3630</v>
      </c>
    </row>
    <row r="56" spans="7:8" x14ac:dyDescent="0.25">
      <c r="G56" s="10">
        <v>45737</v>
      </c>
      <c r="H56" s="11">
        <v>1960</v>
      </c>
    </row>
    <row r="57" spans="7:8" x14ac:dyDescent="0.25">
      <c r="G57" s="10">
        <v>45738</v>
      </c>
      <c r="H57" s="11">
        <v>950</v>
      </c>
    </row>
    <row r="58" spans="7:8" x14ac:dyDescent="0.25">
      <c r="G58" s="10">
        <v>45739</v>
      </c>
      <c r="H58" s="11">
        <v>3900</v>
      </c>
    </row>
    <row r="59" spans="7:8" x14ac:dyDescent="0.25">
      <c r="G59" s="10">
        <v>45740</v>
      </c>
      <c r="H59" s="11">
        <v>9520</v>
      </c>
    </row>
    <row r="60" spans="7:8" x14ac:dyDescent="0.25">
      <c r="G60" s="10">
        <v>45741</v>
      </c>
      <c r="H60" s="11">
        <v>6015</v>
      </c>
    </row>
    <row r="61" spans="7:8" x14ac:dyDescent="0.25">
      <c r="G61" s="10">
        <v>45742</v>
      </c>
      <c r="H61" s="11">
        <v>2970</v>
      </c>
    </row>
    <row r="62" spans="7:8" x14ac:dyDescent="0.25">
      <c r="G62" s="10">
        <v>45743</v>
      </c>
      <c r="H62" s="11">
        <v>15</v>
      </c>
    </row>
    <row r="63" spans="7:8" x14ac:dyDescent="0.25">
      <c r="G63" s="10">
        <v>45744</v>
      </c>
      <c r="H63" s="11">
        <v>2400</v>
      </c>
    </row>
    <row r="64" spans="7:8" x14ac:dyDescent="0.25">
      <c r="G64" s="10">
        <v>45745</v>
      </c>
      <c r="H64" s="11">
        <v>2600</v>
      </c>
    </row>
    <row r="65" spans="7:8" x14ac:dyDescent="0.25">
      <c r="G65" s="10">
        <v>45746</v>
      </c>
      <c r="H65" s="11">
        <v>7465</v>
      </c>
    </row>
    <row r="66" spans="7:8" x14ac:dyDescent="0.25">
      <c r="G66" s="10">
        <v>45747</v>
      </c>
      <c r="H66" s="11">
        <v>6600</v>
      </c>
    </row>
    <row r="67" spans="7:8" x14ac:dyDescent="0.25">
      <c r="G67" s="9" t="s">
        <v>315</v>
      </c>
      <c r="H67" s="11">
        <v>3420</v>
      </c>
    </row>
    <row r="68" spans="7:8" x14ac:dyDescent="0.25">
      <c r="G68" s="10">
        <v>45748</v>
      </c>
      <c r="H68" s="11">
        <v>320</v>
      </c>
    </row>
    <row r="69" spans="7:8" x14ac:dyDescent="0.25">
      <c r="G69" s="10">
        <v>45749</v>
      </c>
      <c r="H69" s="11">
        <v>3100</v>
      </c>
    </row>
    <row r="70" spans="7:8" x14ac:dyDescent="0.25">
      <c r="G70" s="9" t="s">
        <v>309</v>
      </c>
      <c r="H70" s="11">
        <v>243845</v>
      </c>
    </row>
  </sheetData>
  <pageMargins left="0.7" right="0.7" top="0.75" bottom="0.75" header="0.3" footer="0.3"/>
  <drawing r:id="rId16"/>
  <extLst>
    <ext xmlns:x14="http://schemas.microsoft.com/office/spreadsheetml/2009/9/main" uri="{A8765BA9-456A-4dab-B4F3-ACF838C121DE}">
      <x14:slicerList>
        <x14:slicer r:id="rId1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2E801-6B0F-490F-BC03-4C45BCC59155}">
  <dimension ref="A1"/>
  <sheetViews>
    <sheetView showGridLines="0" tabSelected="1" zoomScale="85" zoomScaleNormal="85" workbookViewId="0">
      <selection activeCell="J10" sqref="J10"/>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amazon_sales_data 2025</vt:lpstr>
      <vt:lpstr>caluculation</vt:lpstr>
      <vt:lpstr>Sales Dash 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Pulasam praveen</dc:creator>
  <cp:lastModifiedBy>Praveen Pulasam</cp:lastModifiedBy>
  <dcterms:created xsi:type="dcterms:W3CDTF">2025-04-19T07:25:35Z</dcterms:created>
  <dcterms:modified xsi:type="dcterms:W3CDTF">2025-06-05T15:55:15Z</dcterms:modified>
</cp:coreProperties>
</file>